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7218A419-8618-413B-BA65-9BC72C57E046}" xr6:coauthVersionLast="47" xr6:coauthVersionMax="47" xr10:uidLastSave="{00000000-0000-0000-0000-000000000000}"/>
  <bookViews>
    <workbookView xWindow="-120" yWindow="-120" windowWidth="29040" windowHeight="15840" tabRatio="969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0" i="20" l="1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670" i="18"/>
  <c r="E583" i="18"/>
  <c r="E501" i="18"/>
  <c r="E401" i="18"/>
  <c r="E400" i="18"/>
  <c r="E255" i="18"/>
  <c r="E286" i="18"/>
  <c r="E254" i="18"/>
  <c r="E154" i="18"/>
  <c r="E153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7"/>
  <c r="K709" i="17"/>
  <c r="L709" i="17"/>
  <c r="M709" i="17"/>
  <c r="J708" i="17"/>
  <c r="K708" i="17"/>
  <c r="L708" i="17"/>
  <c r="M708" i="17"/>
  <c r="J709" i="16"/>
  <c r="K709" i="16"/>
  <c r="L709" i="16"/>
  <c r="M709" i="16"/>
  <c r="J708" i="16"/>
  <c r="K708" i="16"/>
  <c r="L708" i="16"/>
  <c r="M708" i="16"/>
  <c r="F709" i="24"/>
  <c r="F708" i="24"/>
  <c r="J709" i="15"/>
  <c r="K709" i="15"/>
  <c r="L709" i="15"/>
  <c r="M709" i="15"/>
  <c r="J708" i="15"/>
  <c r="K708" i="15"/>
  <c r="L708" i="15"/>
  <c r="M708" i="15"/>
  <c r="J706" i="17"/>
  <c r="K706" i="17"/>
  <c r="L706" i="17"/>
  <c r="M706" i="17"/>
  <c r="J706" i="16"/>
  <c r="K706" i="16"/>
  <c r="L706" i="16"/>
  <c r="M706" i="16"/>
  <c r="F706" i="24"/>
  <c r="J706" i="15"/>
  <c r="K706" i="15"/>
  <c r="L706" i="15"/>
  <c r="M706" i="15"/>
  <c r="E277" i="23"/>
  <c r="E277" i="22"/>
  <c r="F277" i="26"/>
  <c r="E277" i="21"/>
  <c r="F450" i="26" l="1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G443" i="26"/>
  <c r="H443" i="26" s="1"/>
  <c r="F443" i="26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G421" i="26"/>
  <c r="H421" i="26" s="1"/>
  <c r="F421" i="26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G388" i="26"/>
  <c r="H388" i="26" s="1"/>
  <c r="F388" i="26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G292" i="26"/>
  <c r="H292" i="26" s="1"/>
  <c r="F292" i="26"/>
  <c r="F291" i="26"/>
  <c r="G291" i="26" s="1"/>
  <c r="H291" i="26" s="1"/>
  <c r="F290" i="26"/>
  <c r="G290" i="26" s="1"/>
  <c r="H290" i="26" s="1"/>
  <c r="F289" i="26"/>
  <c r="G289" i="26" s="1"/>
  <c r="H289" i="26" s="1"/>
  <c r="G288" i="26"/>
  <c r="H288" i="26" s="1"/>
  <c r="F288" i="26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F260" i="26"/>
  <c r="G260" i="26" s="1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G253" i="26"/>
  <c r="H253" i="26" s="1"/>
  <c r="F253" i="26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H210" i="26"/>
  <c r="F210" i="26"/>
  <c r="G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G174" i="26"/>
  <c r="H174" i="26" s="1"/>
  <c r="F174" i="26"/>
  <c r="F173" i="26"/>
  <c r="G173" i="26" s="1"/>
  <c r="H173" i="26" s="1"/>
  <c r="G172" i="26"/>
  <c r="H172" i="26" s="1"/>
  <c r="F172" i="26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G118" i="26"/>
  <c r="H118" i="26" s="1"/>
  <c r="F118" i="26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G100" i="26"/>
  <c r="H100" i="26" s="1"/>
  <c r="F100" i="26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G77" i="26"/>
  <c r="H77" i="26" s="1"/>
  <c r="F77" i="26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G65" i="26"/>
  <c r="H65" i="26" s="1"/>
  <c r="F65" i="26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G40" i="26"/>
  <c r="H40" i="26" s="1"/>
  <c r="F40" i="26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G25" i="26"/>
  <c r="H25" i="26" s="1"/>
  <c r="F25" i="26"/>
  <c r="G24" i="26"/>
  <c r="H24" i="26" s="1"/>
  <c r="F24" i="26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G13" i="26"/>
  <c r="H13" i="26" s="1"/>
  <c r="F13" i="26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H1121" i="25"/>
  <c r="G1121" i="25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H577" i="25"/>
  <c r="G577" i="25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F710" i="24"/>
  <c r="G710" i="24" s="1"/>
  <c r="G709" i="24"/>
  <c r="G708" i="24"/>
  <c r="F707" i="24"/>
  <c r="G707" i="24" s="1"/>
  <c r="G706" i="24"/>
  <c r="F705" i="24"/>
  <c r="G705" i="24" s="1"/>
  <c r="F704" i="24"/>
  <c r="G704" i="24" s="1"/>
  <c r="F703" i="24"/>
  <c r="G703" i="24" s="1"/>
  <c r="G702" i="24"/>
  <c r="F702" i="24"/>
  <c r="F701" i="24"/>
  <c r="G701" i="24" s="1"/>
  <c r="F700" i="24"/>
  <c r="G700" i="24" s="1"/>
  <c r="F699" i="24"/>
  <c r="G699" i="24" s="1"/>
  <c r="F698" i="24"/>
  <c r="G698" i="24" s="1"/>
  <c r="F697" i="24"/>
  <c r="G697" i="24" s="1"/>
  <c r="F696" i="24"/>
  <c r="G696" i="24" s="1"/>
  <c r="F695" i="24"/>
  <c r="G695" i="24" s="1"/>
  <c r="F694" i="24"/>
  <c r="G694" i="24" s="1"/>
  <c r="F693" i="24"/>
  <c r="G693" i="24" s="1"/>
  <c r="F692" i="24"/>
  <c r="G692" i="24" s="1"/>
  <c r="F691" i="24"/>
  <c r="F690" i="24"/>
  <c r="G690" i="24" s="1"/>
  <c r="F689" i="24"/>
  <c r="G689" i="24" s="1"/>
  <c r="F688" i="24"/>
  <c r="G688" i="24" s="1"/>
  <c r="H688" i="24" s="1"/>
  <c r="F687" i="24"/>
  <c r="G687" i="24" s="1"/>
  <c r="F686" i="24"/>
  <c r="G686" i="24" s="1"/>
  <c r="F685" i="24"/>
  <c r="G685" i="24" s="1"/>
  <c r="F684" i="24"/>
  <c r="G684" i="24" s="1"/>
  <c r="F683" i="24"/>
  <c r="G683" i="24" s="1"/>
  <c r="F682" i="24"/>
  <c r="G682" i="24" s="1"/>
  <c r="F681" i="24"/>
  <c r="G681" i="24" s="1"/>
  <c r="F680" i="24"/>
  <c r="G680" i="24" s="1"/>
  <c r="F679" i="24"/>
  <c r="G679" i="24" s="1"/>
  <c r="F678" i="24"/>
  <c r="G678" i="24" s="1"/>
  <c r="F677" i="24"/>
  <c r="G677" i="24" s="1"/>
  <c r="F676" i="24"/>
  <c r="F675" i="24"/>
  <c r="G675" i="24" s="1"/>
  <c r="F674" i="24"/>
  <c r="G674" i="24" s="1"/>
  <c r="F673" i="24"/>
  <c r="F672" i="24"/>
  <c r="G672" i="24" s="1"/>
  <c r="F671" i="24"/>
  <c r="G671" i="24" s="1"/>
  <c r="F670" i="24"/>
  <c r="G670" i="24" s="1"/>
  <c r="F669" i="24"/>
  <c r="G669" i="24" s="1"/>
  <c r="F668" i="24"/>
  <c r="F667" i="24"/>
  <c r="F666" i="24"/>
  <c r="G666" i="24" s="1"/>
  <c r="F665" i="24"/>
  <c r="G665" i="24" s="1"/>
  <c r="F664" i="24"/>
  <c r="G664" i="24" s="1"/>
  <c r="F663" i="24"/>
  <c r="G663" i="24" s="1"/>
  <c r="F662" i="24"/>
  <c r="G662" i="24" s="1"/>
  <c r="F661" i="24"/>
  <c r="G661" i="24" s="1"/>
  <c r="F660" i="24"/>
  <c r="G660" i="24" s="1"/>
  <c r="H660" i="24" s="1"/>
  <c r="F659" i="24"/>
  <c r="G659" i="24" s="1"/>
  <c r="F658" i="24"/>
  <c r="G658" i="24" s="1"/>
  <c r="F657" i="24"/>
  <c r="G657" i="24" s="1"/>
  <c r="F656" i="24"/>
  <c r="G656" i="24" s="1"/>
  <c r="F655" i="24"/>
  <c r="G655" i="24" s="1"/>
  <c r="F654" i="24"/>
  <c r="G654" i="24" s="1"/>
  <c r="F653" i="24"/>
  <c r="G653" i="24" s="1"/>
  <c r="F652" i="24"/>
  <c r="G652" i="24" s="1"/>
  <c r="F651" i="24"/>
  <c r="G651" i="24" s="1"/>
  <c r="F650" i="24"/>
  <c r="G650" i="24" s="1"/>
  <c r="F649" i="24"/>
  <c r="G649" i="24" s="1"/>
  <c r="H649" i="24" s="1"/>
  <c r="F648" i="24"/>
  <c r="G648" i="24" s="1"/>
  <c r="F647" i="24"/>
  <c r="G647" i="24" s="1"/>
  <c r="F646" i="24"/>
  <c r="G646" i="24" s="1"/>
  <c r="F645" i="24"/>
  <c r="G645" i="24" s="1"/>
  <c r="F644" i="24"/>
  <c r="G644" i="24" s="1"/>
  <c r="F643" i="24"/>
  <c r="G643" i="24" s="1"/>
  <c r="F642" i="24"/>
  <c r="G642" i="24" s="1"/>
  <c r="F641" i="24"/>
  <c r="G641" i="24" s="1"/>
  <c r="F640" i="24"/>
  <c r="G640" i="24" s="1"/>
  <c r="F639" i="24"/>
  <c r="G639" i="24" s="1"/>
  <c r="F638" i="24"/>
  <c r="G638" i="24" s="1"/>
  <c r="F637" i="24"/>
  <c r="G637" i="24" s="1"/>
  <c r="F636" i="24"/>
  <c r="G636" i="24" s="1"/>
  <c r="F635" i="24"/>
  <c r="G635" i="24" s="1"/>
  <c r="F634" i="24"/>
  <c r="G634" i="24" s="1"/>
  <c r="F633" i="24"/>
  <c r="G633" i="24" s="1"/>
  <c r="F632" i="24"/>
  <c r="F631" i="24"/>
  <c r="G631" i="24" s="1"/>
  <c r="F630" i="24"/>
  <c r="G630" i="24" s="1"/>
  <c r="F629" i="24"/>
  <c r="G629" i="24" s="1"/>
  <c r="F628" i="24"/>
  <c r="F627" i="24"/>
  <c r="G627" i="24" s="1"/>
  <c r="F626" i="24"/>
  <c r="G626" i="24" s="1"/>
  <c r="F625" i="24"/>
  <c r="G625" i="24" s="1"/>
  <c r="F624" i="24"/>
  <c r="G624" i="24" s="1"/>
  <c r="F623" i="24"/>
  <c r="G623" i="24" s="1"/>
  <c r="F622" i="24"/>
  <c r="G622" i="24" s="1"/>
  <c r="F621" i="24"/>
  <c r="G621" i="24" s="1"/>
  <c r="F620" i="24"/>
  <c r="G620" i="24" s="1"/>
  <c r="F619" i="24"/>
  <c r="G619" i="24" s="1"/>
  <c r="F618" i="24"/>
  <c r="G618" i="24" s="1"/>
  <c r="F617" i="24"/>
  <c r="G617" i="24" s="1"/>
  <c r="F616" i="24"/>
  <c r="G616" i="24" s="1"/>
  <c r="F615" i="24"/>
  <c r="G615" i="24" s="1"/>
  <c r="F614" i="24"/>
  <c r="G614" i="24" s="1"/>
  <c r="F613" i="24"/>
  <c r="G613" i="24" s="1"/>
  <c r="F612" i="24"/>
  <c r="G612" i="24" s="1"/>
  <c r="F611" i="24"/>
  <c r="G611" i="24" s="1"/>
  <c r="F610" i="24"/>
  <c r="G610" i="24" s="1"/>
  <c r="F609" i="24"/>
  <c r="G609" i="24" s="1"/>
  <c r="F608" i="24"/>
  <c r="G608" i="24" s="1"/>
  <c r="F607" i="24"/>
  <c r="G607" i="24" s="1"/>
  <c r="F606" i="24"/>
  <c r="G606" i="24" s="1"/>
  <c r="F605" i="24"/>
  <c r="G605" i="24" s="1"/>
  <c r="F604" i="24"/>
  <c r="G604" i="24" s="1"/>
  <c r="F603" i="24"/>
  <c r="G603" i="24" s="1"/>
  <c r="F602" i="24"/>
  <c r="G602" i="24" s="1"/>
  <c r="F601" i="24"/>
  <c r="G601" i="24" s="1"/>
  <c r="F600" i="24"/>
  <c r="G600" i="24" s="1"/>
  <c r="F599" i="24"/>
  <c r="G599" i="24" s="1"/>
  <c r="F598" i="24"/>
  <c r="G598" i="24" s="1"/>
  <c r="F597" i="24"/>
  <c r="G597" i="24" s="1"/>
  <c r="F596" i="24"/>
  <c r="G596" i="24" s="1"/>
  <c r="F595" i="24"/>
  <c r="G595" i="24" s="1"/>
  <c r="F594" i="24"/>
  <c r="G594" i="24" s="1"/>
  <c r="F593" i="24"/>
  <c r="G593" i="24" s="1"/>
  <c r="F592" i="24"/>
  <c r="G592" i="24" s="1"/>
  <c r="F591" i="24"/>
  <c r="G591" i="24" s="1"/>
  <c r="F590" i="24"/>
  <c r="G590" i="24" s="1"/>
  <c r="F589" i="24"/>
  <c r="G589" i="24" s="1"/>
  <c r="H589" i="24"/>
  <c r="F588" i="24"/>
  <c r="G588" i="24" s="1"/>
  <c r="F587" i="24"/>
  <c r="G587" i="24" s="1"/>
  <c r="F586" i="24"/>
  <c r="G586" i="24" s="1"/>
  <c r="F585" i="24"/>
  <c r="G585" i="24" s="1"/>
  <c r="F584" i="24"/>
  <c r="G584" i="24" s="1"/>
  <c r="F583" i="24"/>
  <c r="G583" i="24" s="1"/>
  <c r="F582" i="24"/>
  <c r="G582" i="24" s="1"/>
  <c r="F581" i="24"/>
  <c r="G581" i="24" s="1"/>
  <c r="F580" i="24"/>
  <c r="G580" i="24" s="1"/>
  <c r="F579" i="24"/>
  <c r="G579" i="24" s="1"/>
  <c r="F578" i="24"/>
  <c r="G578" i="24" s="1"/>
  <c r="F577" i="24"/>
  <c r="G577" i="24" s="1"/>
  <c r="F576" i="24"/>
  <c r="G576" i="24" s="1"/>
  <c r="F575" i="24"/>
  <c r="G575" i="24" s="1"/>
  <c r="F574" i="24"/>
  <c r="G574" i="24" s="1"/>
  <c r="F573" i="24"/>
  <c r="G573" i="24" s="1"/>
  <c r="F572" i="24"/>
  <c r="G572" i="24" s="1"/>
  <c r="F571" i="24"/>
  <c r="G571" i="24" s="1"/>
  <c r="F570" i="24"/>
  <c r="G570" i="24" s="1"/>
  <c r="F569" i="24"/>
  <c r="G569" i="24" s="1"/>
  <c r="F568" i="24"/>
  <c r="G568" i="24" s="1"/>
  <c r="F567" i="24"/>
  <c r="G567" i="24" s="1"/>
  <c r="F566" i="24"/>
  <c r="G566" i="24" s="1"/>
  <c r="F565" i="24"/>
  <c r="G565" i="24" s="1"/>
  <c r="F564" i="24"/>
  <c r="G564" i="24" s="1"/>
  <c r="F563" i="24"/>
  <c r="G563" i="24" s="1"/>
  <c r="F562" i="24"/>
  <c r="G562" i="24" s="1"/>
  <c r="F561" i="24"/>
  <c r="G561" i="24" s="1"/>
  <c r="F560" i="24"/>
  <c r="G560" i="24" s="1"/>
  <c r="F559" i="24"/>
  <c r="G559" i="24" s="1"/>
  <c r="F558" i="24"/>
  <c r="G558" i="24" s="1"/>
  <c r="F557" i="24"/>
  <c r="G557" i="24" s="1"/>
  <c r="F556" i="24"/>
  <c r="G556" i="24" s="1"/>
  <c r="F555" i="24"/>
  <c r="G555" i="24" s="1"/>
  <c r="F554" i="24"/>
  <c r="G554" i="24" s="1"/>
  <c r="F553" i="24"/>
  <c r="G553" i="24" s="1"/>
  <c r="F552" i="24"/>
  <c r="G552" i="24" s="1"/>
  <c r="F551" i="24"/>
  <c r="G551" i="24" s="1"/>
  <c r="F550" i="24"/>
  <c r="G550" i="24" s="1"/>
  <c r="F549" i="24"/>
  <c r="G549" i="24" s="1"/>
  <c r="F548" i="24"/>
  <c r="G548" i="24" s="1"/>
  <c r="F547" i="24"/>
  <c r="G547" i="24" s="1"/>
  <c r="F546" i="24"/>
  <c r="G546" i="24" s="1"/>
  <c r="F545" i="24"/>
  <c r="G545" i="24" s="1"/>
  <c r="F544" i="24"/>
  <c r="G544" i="24" s="1"/>
  <c r="F543" i="24"/>
  <c r="G543" i="24" s="1"/>
  <c r="F542" i="24"/>
  <c r="G542" i="24" s="1"/>
  <c r="F541" i="24"/>
  <c r="G541" i="24" s="1"/>
  <c r="F540" i="24"/>
  <c r="G540" i="24" s="1"/>
  <c r="F539" i="24"/>
  <c r="F538" i="24"/>
  <c r="G538" i="24" s="1"/>
  <c r="F537" i="24"/>
  <c r="G537" i="24" s="1"/>
  <c r="F536" i="24"/>
  <c r="G536" i="24" s="1"/>
  <c r="F535" i="24"/>
  <c r="G535" i="24" s="1"/>
  <c r="F534" i="24"/>
  <c r="G534" i="24" s="1"/>
  <c r="F533" i="24"/>
  <c r="G533" i="24" s="1"/>
  <c r="F532" i="24"/>
  <c r="G532" i="24" s="1"/>
  <c r="F531" i="24"/>
  <c r="G531" i="24" s="1"/>
  <c r="F530" i="24"/>
  <c r="G530" i="24" s="1"/>
  <c r="F529" i="24"/>
  <c r="G529" i="24" s="1"/>
  <c r="F528" i="24"/>
  <c r="G528" i="24" s="1"/>
  <c r="F527" i="24"/>
  <c r="F526" i="24"/>
  <c r="G526" i="24" s="1"/>
  <c r="F525" i="24"/>
  <c r="G525" i="24" s="1"/>
  <c r="F524" i="24"/>
  <c r="G524" i="24" s="1"/>
  <c r="F523" i="24"/>
  <c r="G523" i="24" s="1"/>
  <c r="F522" i="24"/>
  <c r="G522" i="24" s="1"/>
  <c r="F521" i="24"/>
  <c r="G521" i="24" s="1"/>
  <c r="F520" i="24"/>
  <c r="G520" i="24" s="1"/>
  <c r="F519" i="24"/>
  <c r="F518" i="24"/>
  <c r="G518" i="24" s="1"/>
  <c r="F517" i="24"/>
  <c r="G517" i="24" s="1"/>
  <c r="F516" i="24"/>
  <c r="G516" i="24" s="1"/>
  <c r="F515" i="24"/>
  <c r="G515" i="24" s="1"/>
  <c r="F514" i="24"/>
  <c r="G514" i="24" s="1"/>
  <c r="F513" i="24"/>
  <c r="G513" i="24" s="1"/>
  <c r="F512" i="24"/>
  <c r="G512" i="24" s="1"/>
  <c r="F511" i="24"/>
  <c r="G511" i="24" s="1"/>
  <c r="F510" i="24"/>
  <c r="G510" i="24" s="1"/>
  <c r="F509" i="24"/>
  <c r="G509" i="24" s="1"/>
  <c r="F508" i="24"/>
  <c r="G508" i="24" s="1"/>
  <c r="F507" i="24"/>
  <c r="F506" i="24"/>
  <c r="G506" i="24" s="1"/>
  <c r="F505" i="24"/>
  <c r="G505" i="24" s="1"/>
  <c r="F504" i="24"/>
  <c r="G504" i="24" s="1"/>
  <c r="F503" i="24"/>
  <c r="G503" i="24" s="1"/>
  <c r="F502" i="24"/>
  <c r="G502" i="24" s="1"/>
  <c r="F501" i="24"/>
  <c r="G501" i="24" s="1"/>
  <c r="F500" i="24"/>
  <c r="G500" i="24" s="1"/>
  <c r="F499" i="24"/>
  <c r="G499" i="24" s="1"/>
  <c r="F498" i="24"/>
  <c r="G498" i="24" s="1"/>
  <c r="F497" i="24"/>
  <c r="G497" i="24" s="1"/>
  <c r="F496" i="24"/>
  <c r="G496" i="24" s="1"/>
  <c r="F495" i="24"/>
  <c r="G495" i="24" s="1"/>
  <c r="F494" i="24"/>
  <c r="G494" i="24" s="1"/>
  <c r="F493" i="24"/>
  <c r="G493" i="24" s="1"/>
  <c r="F492" i="24"/>
  <c r="G492" i="24" s="1"/>
  <c r="F491" i="24"/>
  <c r="G491" i="24" s="1"/>
  <c r="F490" i="24"/>
  <c r="G490" i="24" s="1"/>
  <c r="F489" i="24"/>
  <c r="G489" i="24" s="1"/>
  <c r="F488" i="24"/>
  <c r="G488" i="24" s="1"/>
  <c r="F487" i="24"/>
  <c r="G487" i="24" s="1"/>
  <c r="F486" i="24"/>
  <c r="G486" i="24" s="1"/>
  <c r="F485" i="24"/>
  <c r="G485" i="24" s="1"/>
  <c r="F484" i="24"/>
  <c r="G484" i="24" s="1"/>
  <c r="F483" i="24"/>
  <c r="G483" i="24" s="1"/>
  <c r="F482" i="24"/>
  <c r="G482" i="24" s="1"/>
  <c r="F481" i="24"/>
  <c r="G481" i="24" s="1"/>
  <c r="F480" i="24"/>
  <c r="G480" i="24" s="1"/>
  <c r="F479" i="24"/>
  <c r="F478" i="24"/>
  <c r="G478" i="24" s="1"/>
  <c r="F477" i="24"/>
  <c r="G477" i="24" s="1"/>
  <c r="H477" i="24"/>
  <c r="F476" i="24"/>
  <c r="G476" i="24" s="1"/>
  <c r="F475" i="24"/>
  <c r="G475" i="24" s="1"/>
  <c r="F474" i="24"/>
  <c r="G474" i="24" s="1"/>
  <c r="F473" i="24"/>
  <c r="G473" i="24" s="1"/>
  <c r="F472" i="24"/>
  <c r="G472" i="24" s="1"/>
  <c r="F471" i="24"/>
  <c r="G471" i="24" s="1"/>
  <c r="F470" i="24"/>
  <c r="G470" i="24" s="1"/>
  <c r="F469" i="24"/>
  <c r="G469" i="24" s="1"/>
  <c r="F468" i="24"/>
  <c r="G468" i="24" s="1"/>
  <c r="F467" i="24"/>
  <c r="G467" i="24" s="1"/>
  <c r="F466" i="24"/>
  <c r="G466" i="24" s="1"/>
  <c r="F465" i="24"/>
  <c r="G465" i="24" s="1"/>
  <c r="F464" i="24"/>
  <c r="G464" i="24" s="1"/>
  <c r="F463" i="24"/>
  <c r="G463" i="24" s="1"/>
  <c r="F462" i="24"/>
  <c r="G462" i="24" s="1"/>
  <c r="F461" i="24"/>
  <c r="G461" i="24" s="1"/>
  <c r="F460" i="24"/>
  <c r="G460" i="24" s="1"/>
  <c r="F459" i="24"/>
  <c r="G459" i="24" s="1"/>
  <c r="F458" i="24"/>
  <c r="G458" i="24" s="1"/>
  <c r="F457" i="24"/>
  <c r="G457" i="24" s="1"/>
  <c r="F456" i="24"/>
  <c r="G456" i="24" s="1"/>
  <c r="F455" i="24"/>
  <c r="G455" i="24" s="1"/>
  <c r="F454" i="24"/>
  <c r="G454" i="24" s="1"/>
  <c r="F453" i="24"/>
  <c r="G453" i="24" s="1"/>
  <c r="F452" i="24"/>
  <c r="G452" i="24" s="1"/>
  <c r="F451" i="24"/>
  <c r="G451" i="24" s="1"/>
  <c r="F450" i="24"/>
  <c r="G450" i="24" s="1"/>
  <c r="F449" i="24"/>
  <c r="G449" i="24" s="1"/>
  <c r="F448" i="24"/>
  <c r="G448" i="24" s="1"/>
  <c r="F447" i="24"/>
  <c r="G447" i="24" s="1"/>
  <c r="F446" i="24"/>
  <c r="F445" i="24"/>
  <c r="G445" i="24" s="1"/>
  <c r="F444" i="24"/>
  <c r="G444" i="24" s="1"/>
  <c r="F443" i="24"/>
  <c r="G443" i="24" s="1"/>
  <c r="F442" i="24"/>
  <c r="G442" i="24" s="1"/>
  <c r="F441" i="24"/>
  <c r="G441" i="24" s="1"/>
  <c r="F440" i="24"/>
  <c r="G440" i="24" s="1"/>
  <c r="F439" i="24"/>
  <c r="G439" i="24" s="1"/>
  <c r="F438" i="24"/>
  <c r="G438" i="24" s="1"/>
  <c r="F437" i="24"/>
  <c r="G437" i="24" s="1"/>
  <c r="F436" i="24"/>
  <c r="G436" i="24" s="1"/>
  <c r="F435" i="24"/>
  <c r="G435" i="24" s="1"/>
  <c r="F434" i="24"/>
  <c r="G434" i="24" s="1"/>
  <c r="F433" i="24"/>
  <c r="G433" i="24" s="1"/>
  <c r="F432" i="24"/>
  <c r="G432" i="24" s="1"/>
  <c r="F431" i="24"/>
  <c r="G431" i="24" s="1"/>
  <c r="F430" i="24"/>
  <c r="G430" i="24" s="1"/>
  <c r="F429" i="24"/>
  <c r="G429" i="24" s="1"/>
  <c r="F428" i="24"/>
  <c r="G428" i="24" s="1"/>
  <c r="F427" i="24"/>
  <c r="F426" i="24"/>
  <c r="G426" i="24" s="1"/>
  <c r="F425" i="24"/>
  <c r="G425" i="24" s="1"/>
  <c r="F424" i="24"/>
  <c r="G424" i="24" s="1"/>
  <c r="F423" i="24"/>
  <c r="G423" i="24" s="1"/>
  <c r="F422" i="24"/>
  <c r="G422" i="24" s="1"/>
  <c r="F421" i="24"/>
  <c r="G421" i="24" s="1"/>
  <c r="F420" i="24"/>
  <c r="G420" i="24" s="1"/>
  <c r="F419" i="24"/>
  <c r="G419" i="24" s="1"/>
  <c r="F418" i="24"/>
  <c r="G418" i="24" s="1"/>
  <c r="F417" i="24"/>
  <c r="G417" i="24" s="1"/>
  <c r="F416" i="24"/>
  <c r="G416" i="24" s="1"/>
  <c r="F415" i="24"/>
  <c r="G415" i="24" s="1"/>
  <c r="F414" i="24"/>
  <c r="G414" i="24" s="1"/>
  <c r="F413" i="24"/>
  <c r="G413" i="24" s="1"/>
  <c r="F412" i="24"/>
  <c r="G412" i="24" s="1"/>
  <c r="F411" i="24"/>
  <c r="G411" i="24" s="1"/>
  <c r="F410" i="24"/>
  <c r="G410" i="24" s="1"/>
  <c r="F409" i="24"/>
  <c r="G409" i="24" s="1"/>
  <c r="F408" i="24"/>
  <c r="G408" i="24" s="1"/>
  <c r="F407" i="24"/>
  <c r="G407" i="24" s="1"/>
  <c r="F406" i="24"/>
  <c r="G406" i="24" s="1"/>
  <c r="F405" i="24"/>
  <c r="G405" i="24" s="1"/>
  <c r="F404" i="24"/>
  <c r="G404" i="24" s="1"/>
  <c r="F403" i="24"/>
  <c r="G403" i="24" s="1"/>
  <c r="F402" i="24"/>
  <c r="G402" i="24" s="1"/>
  <c r="F401" i="24"/>
  <c r="F400" i="24"/>
  <c r="G400" i="24" s="1"/>
  <c r="F399" i="24"/>
  <c r="G399" i="24" s="1"/>
  <c r="F398" i="24"/>
  <c r="G398" i="24" s="1"/>
  <c r="F397" i="24"/>
  <c r="G397" i="24" s="1"/>
  <c r="F396" i="24"/>
  <c r="G396" i="24" s="1"/>
  <c r="F395" i="24"/>
  <c r="G395" i="24" s="1"/>
  <c r="F394" i="24"/>
  <c r="G394" i="24" s="1"/>
  <c r="F393" i="24"/>
  <c r="G393" i="24" s="1"/>
  <c r="F392" i="24"/>
  <c r="G392" i="24" s="1"/>
  <c r="F391" i="24"/>
  <c r="G391" i="24" s="1"/>
  <c r="F390" i="24"/>
  <c r="G390" i="24" s="1"/>
  <c r="F389" i="24"/>
  <c r="G389" i="24" s="1"/>
  <c r="F388" i="24"/>
  <c r="G388" i="24" s="1"/>
  <c r="F387" i="24"/>
  <c r="G387" i="24" s="1"/>
  <c r="F386" i="24"/>
  <c r="G386" i="24" s="1"/>
  <c r="F385" i="24"/>
  <c r="G385" i="24" s="1"/>
  <c r="F384" i="24"/>
  <c r="G384" i="24" s="1"/>
  <c r="F383" i="24"/>
  <c r="G383" i="24" s="1"/>
  <c r="F382" i="24"/>
  <c r="G382" i="24" s="1"/>
  <c r="F381" i="24"/>
  <c r="G381" i="24" s="1"/>
  <c r="F380" i="24"/>
  <c r="G380" i="24" s="1"/>
  <c r="F379" i="24"/>
  <c r="G379" i="24" s="1"/>
  <c r="F378" i="24"/>
  <c r="G378" i="24" s="1"/>
  <c r="F377" i="24"/>
  <c r="F376" i="24"/>
  <c r="G376" i="24" s="1"/>
  <c r="F375" i="24"/>
  <c r="G375" i="24" s="1"/>
  <c r="F374" i="24"/>
  <c r="G374" i="24" s="1"/>
  <c r="F373" i="24"/>
  <c r="G373" i="24" s="1"/>
  <c r="F372" i="24"/>
  <c r="G372" i="24" s="1"/>
  <c r="F371" i="24"/>
  <c r="G371" i="24" s="1"/>
  <c r="F370" i="24"/>
  <c r="G370" i="24" s="1"/>
  <c r="F369" i="24"/>
  <c r="G369" i="24" s="1"/>
  <c r="F368" i="24"/>
  <c r="G368" i="24" s="1"/>
  <c r="F367" i="24"/>
  <c r="G367" i="24" s="1"/>
  <c r="F366" i="24"/>
  <c r="G366" i="24" s="1"/>
  <c r="F365" i="24"/>
  <c r="G365" i="24" s="1"/>
  <c r="F364" i="24"/>
  <c r="G364" i="24" s="1"/>
  <c r="F363" i="24"/>
  <c r="G363" i="24" s="1"/>
  <c r="F362" i="24"/>
  <c r="G362" i="24" s="1"/>
  <c r="F361" i="24"/>
  <c r="G361" i="24" s="1"/>
  <c r="F360" i="24"/>
  <c r="G360" i="24" s="1"/>
  <c r="F359" i="24"/>
  <c r="G359" i="24" s="1"/>
  <c r="F358" i="24"/>
  <c r="G358" i="24" s="1"/>
  <c r="F357" i="24"/>
  <c r="G357" i="24" s="1"/>
  <c r="F356" i="24"/>
  <c r="G356" i="24" s="1"/>
  <c r="F355" i="24"/>
  <c r="G355" i="24" s="1"/>
  <c r="F354" i="24"/>
  <c r="G354" i="24" s="1"/>
  <c r="F353" i="24"/>
  <c r="G353" i="24" s="1"/>
  <c r="F352" i="24"/>
  <c r="G352" i="24" s="1"/>
  <c r="F351" i="24"/>
  <c r="G351" i="24" s="1"/>
  <c r="F350" i="24"/>
  <c r="G350" i="24" s="1"/>
  <c r="F349" i="24"/>
  <c r="G349" i="24" s="1"/>
  <c r="F348" i="24"/>
  <c r="G348" i="24" s="1"/>
  <c r="F347" i="24"/>
  <c r="G347" i="24" s="1"/>
  <c r="F346" i="24"/>
  <c r="G346" i="24" s="1"/>
  <c r="F345" i="24"/>
  <c r="G345" i="24" s="1"/>
  <c r="F344" i="24"/>
  <c r="G344" i="24" s="1"/>
  <c r="F343" i="24"/>
  <c r="G343" i="24" s="1"/>
  <c r="F342" i="24"/>
  <c r="G342" i="24" s="1"/>
  <c r="F341" i="24"/>
  <c r="G341" i="24" s="1"/>
  <c r="F340" i="24"/>
  <c r="G340" i="24" s="1"/>
  <c r="F339" i="24"/>
  <c r="G339" i="24" s="1"/>
  <c r="F338" i="24"/>
  <c r="G338" i="24" s="1"/>
  <c r="F337" i="24"/>
  <c r="G337" i="24" s="1"/>
  <c r="F336" i="24"/>
  <c r="G336" i="24" s="1"/>
  <c r="F335" i="24"/>
  <c r="G335" i="24" s="1"/>
  <c r="F334" i="24"/>
  <c r="G334" i="24" s="1"/>
  <c r="F333" i="24"/>
  <c r="G333" i="24" s="1"/>
  <c r="F332" i="24"/>
  <c r="G332" i="24" s="1"/>
  <c r="F331" i="24"/>
  <c r="G331" i="24" s="1"/>
  <c r="F330" i="24"/>
  <c r="G330" i="24" s="1"/>
  <c r="F329" i="24"/>
  <c r="G329" i="24" s="1"/>
  <c r="F328" i="24"/>
  <c r="G328" i="24" s="1"/>
  <c r="F327" i="24"/>
  <c r="G327" i="24" s="1"/>
  <c r="F326" i="24"/>
  <c r="G326" i="24" s="1"/>
  <c r="F325" i="24"/>
  <c r="G325" i="24" s="1"/>
  <c r="F324" i="24"/>
  <c r="G324" i="24" s="1"/>
  <c r="F323" i="24"/>
  <c r="G323" i="24" s="1"/>
  <c r="F322" i="24"/>
  <c r="G322" i="24" s="1"/>
  <c r="F321" i="24"/>
  <c r="G321" i="24" s="1"/>
  <c r="F320" i="24"/>
  <c r="G320" i="24" s="1"/>
  <c r="F319" i="24"/>
  <c r="G319" i="24" s="1"/>
  <c r="F318" i="24"/>
  <c r="G318" i="24" s="1"/>
  <c r="F317" i="24"/>
  <c r="G317" i="24" s="1"/>
  <c r="F316" i="24"/>
  <c r="G316" i="24" s="1"/>
  <c r="F315" i="24"/>
  <c r="G315" i="24" s="1"/>
  <c r="F314" i="24"/>
  <c r="G314" i="24" s="1"/>
  <c r="F313" i="24"/>
  <c r="G313" i="24" s="1"/>
  <c r="F312" i="24"/>
  <c r="G312" i="24" s="1"/>
  <c r="F311" i="24"/>
  <c r="G311" i="24" s="1"/>
  <c r="F310" i="24"/>
  <c r="G310" i="24" s="1"/>
  <c r="F309" i="24"/>
  <c r="G309" i="24" s="1"/>
  <c r="F308" i="24"/>
  <c r="G308" i="24" s="1"/>
  <c r="F307" i="24"/>
  <c r="G307" i="24" s="1"/>
  <c r="F306" i="24"/>
  <c r="G306" i="24" s="1"/>
  <c r="F305" i="24"/>
  <c r="G305" i="24" s="1"/>
  <c r="F304" i="24"/>
  <c r="G304" i="24" s="1"/>
  <c r="F303" i="24"/>
  <c r="G303" i="24" s="1"/>
  <c r="F302" i="24"/>
  <c r="G302" i="24" s="1"/>
  <c r="F301" i="24"/>
  <c r="G301" i="24" s="1"/>
  <c r="F300" i="24"/>
  <c r="G300" i="24" s="1"/>
  <c r="F299" i="24"/>
  <c r="G299" i="24" s="1"/>
  <c r="F298" i="24"/>
  <c r="G298" i="24" s="1"/>
  <c r="F297" i="24"/>
  <c r="G297" i="24" s="1"/>
  <c r="F296" i="24"/>
  <c r="G296" i="24" s="1"/>
  <c r="F295" i="24"/>
  <c r="G295" i="24" s="1"/>
  <c r="F294" i="24"/>
  <c r="G294" i="24" s="1"/>
  <c r="F293" i="24"/>
  <c r="G293" i="24" s="1"/>
  <c r="F292" i="24"/>
  <c r="G292" i="24" s="1"/>
  <c r="F291" i="24"/>
  <c r="G291" i="24" s="1"/>
  <c r="F290" i="24"/>
  <c r="G290" i="24" s="1"/>
  <c r="F289" i="24"/>
  <c r="F288" i="24"/>
  <c r="G288" i="24" s="1"/>
  <c r="F287" i="24"/>
  <c r="G287" i="24" s="1"/>
  <c r="F286" i="24"/>
  <c r="G286" i="24" s="1"/>
  <c r="F285" i="24"/>
  <c r="G285" i="24" s="1"/>
  <c r="F284" i="24"/>
  <c r="G284" i="24" s="1"/>
  <c r="F283" i="24"/>
  <c r="G283" i="24" s="1"/>
  <c r="F282" i="24"/>
  <c r="G282" i="24" s="1"/>
  <c r="F281" i="24"/>
  <c r="G281" i="24" s="1"/>
  <c r="F280" i="24"/>
  <c r="G280" i="24" s="1"/>
  <c r="F279" i="24"/>
  <c r="G279" i="24" s="1"/>
  <c r="F278" i="24"/>
  <c r="G278" i="24" s="1"/>
  <c r="F277" i="24"/>
  <c r="G277" i="24" s="1"/>
  <c r="F276" i="24"/>
  <c r="G276" i="24" s="1"/>
  <c r="F275" i="24"/>
  <c r="G275" i="24" s="1"/>
  <c r="F274" i="24"/>
  <c r="G274" i="24" s="1"/>
  <c r="F273" i="24"/>
  <c r="G273" i="24" s="1"/>
  <c r="F272" i="24"/>
  <c r="G272" i="24" s="1"/>
  <c r="F271" i="24"/>
  <c r="G271" i="24" s="1"/>
  <c r="F270" i="24"/>
  <c r="G270" i="24" s="1"/>
  <c r="F269" i="24"/>
  <c r="G269" i="24" s="1"/>
  <c r="F268" i="24"/>
  <c r="G268" i="24" s="1"/>
  <c r="F267" i="24"/>
  <c r="G267" i="24" s="1"/>
  <c r="F266" i="24"/>
  <c r="G266" i="24" s="1"/>
  <c r="F265" i="24"/>
  <c r="G265" i="24" s="1"/>
  <c r="F264" i="24"/>
  <c r="G264" i="24" s="1"/>
  <c r="F263" i="24"/>
  <c r="G263" i="24" s="1"/>
  <c r="F262" i="24"/>
  <c r="G262" i="24" s="1"/>
  <c r="F261" i="24"/>
  <c r="G261" i="24" s="1"/>
  <c r="F260" i="24"/>
  <c r="G260" i="24" s="1"/>
  <c r="F259" i="24"/>
  <c r="G259" i="24" s="1"/>
  <c r="F258" i="24"/>
  <c r="G258" i="24" s="1"/>
  <c r="F257" i="24"/>
  <c r="G257" i="24" s="1"/>
  <c r="F256" i="24"/>
  <c r="G256" i="24" s="1"/>
  <c r="F255" i="24"/>
  <c r="G255" i="24" s="1"/>
  <c r="F254" i="24"/>
  <c r="G254" i="24" s="1"/>
  <c r="F253" i="24"/>
  <c r="G253" i="24" s="1"/>
  <c r="F252" i="24"/>
  <c r="G252" i="24" s="1"/>
  <c r="F251" i="24"/>
  <c r="G251" i="24" s="1"/>
  <c r="F250" i="24"/>
  <c r="G250" i="24" s="1"/>
  <c r="F249" i="24"/>
  <c r="G249" i="24" s="1"/>
  <c r="F248" i="24"/>
  <c r="G248" i="24" s="1"/>
  <c r="F247" i="24"/>
  <c r="G247" i="24" s="1"/>
  <c r="F246" i="24"/>
  <c r="G246" i="24" s="1"/>
  <c r="F245" i="24"/>
  <c r="G245" i="24" s="1"/>
  <c r="F244" i="24"/>
  <c r="G244" i="24" s="1"/>
  <c r="F243" i="24"/>
  <c r="G243" i="24" s="1"/>
  <c r="F242" i="24"/>
  <c r="G242" i="24" s="1"/>
  <c r="F241" i="24"/>
  <c r="G241" i="24" s="1"/>
  <c r="F240" i="24"/>
  <c r="G240" i="24" s="1"/>
  <c r="F239" i="24"/>
  <c r="G239" i="24" s="1"/>
  <c r="F238" i="24"/>
  <c r="G238" i="24" s="1"/>
  <c r="F237" i="24"/>
  <c r="F236" i="24"/>
  <c r="G236" i="24" s="1"/>
  <c r="F235" i="24"/>
  <c r="G235" i="24" s="1"/>
  <c r="F234" i="24"/>
  <c r="G234" i="24" s="1"/>
  <c r="F233" i="24"/>
  <c r="G233" i="24" s="1"/>
  <c r="F232" i="24"/>
  <c r="G232" i="24" s="1"/>
  <c r="F231" i="24"/>
  <c r="G231" i="24" s="1"/>
  <c r="F230" i="24"/>
  <c r="G230" i="24" s="1"/>
  <c r="F229" i="24"/>
  <c r="G229" i="24" s="1"/>
  <c r="F228" i="24"/>
  <c r="G228" i="24" s="1"/>
  <c r="F227" i="24"/>
  <c r="G227" i="24" s="1"/>
  <c r="F226" i="24"/>
  <c r="G226" i="24" s="1"/>
  <c r="F225" i="24"/>
  <c r="F224" i="24"/>
  <c r="G224" i="24" s="1"/>
  <c r="F223" i="24"/>
  <c r="G223" i="24" s="1"/>
  <c r="F222" i="24"/>
  <c r="G222" i="24" s="1"/>
  <c r="F221" i="24"/>
  <c r="G221" i="24" s="1"/>
  <c r="F220" i="24"/>
  <c r="G220" i="24" s="1"/>
  <c r="F219" i="24"/>
  <c r="G219" i="24" s="1"/>
  <c r="F218" i="24"/>
  <c r="G218" i="24" s="1"/>
  <c r="F217" i="24"/>
  <c r="G217" i="24" s="1"/>
  <c r="F216" i="24"/>
  <c r="G216" i="24" s="1"/>
  <c r="F215" i="24"/>
  <c r="G215" i="24" s="1"/>
  <c r="F214" i="24"/>
  <c r="G214" i="24" s="1"/>
  <c r="F213" i="24"/>
  <c r="G213" i="24" s="1"/>
  <c r="F212" i="24"/>
  <c r="G212" i="24" s="1"/>
  <c r="F211" i="24"/>
  <c r="G211" i="24" s="1"/>
  <c r="F210" i="24"/>
  <c r="G210" i="24" s="1"/>
  <c r="F209" i="24"/>
  <c r="G209" i="24" s="1"/>
  <c r="F208" i="24"/>
  <c r="G208" i="24" s="1"/>
  <c r="F207" i="24"/>
  <c r="G207" i="24" s="1"/>
  <c r="F206" i="24"/>
  <c r="G206" i="24" s="1"/>
  <c r="F205" i="24"/>
  <c r="G205" i="24" s="1"/>
  <c r="F204" i="24"/>
  <c r="G204" i="24" s="1"/>
  <c r="F203" i="24"/>
  <c r="G203" i="24" s="1"/>
  <c r="F202" i="24"/>
  <c r="G202" i="24" s="1"/>
  <c r="F201" i="24"/>
  <c r="G201" i="24" s="1"/>
  <c r="F200" i="24"/>
  <c r="G200" i="24" s="1"/>
  <c r="F199" i="24"/>
  <c r="G199" i="24" s="1"/>
  <c r="F198" i="24"/>
  <c r="G198" i="24" s="1"/>
  <c r="F197" i="24"/>
  <c r="G197" i="24" s="1"/>
  <c r="F196" i="24"/>
  <c r="G196" i="24" s="1"/>
  <c r="F195" i="24"/>
  <c r="G195" i="24" s="1"/>
  <c r="F194" i="24"/>
  <c r="G194" i="24" s="1"/>
  <c r="F193" i="24"/>
  <c r="G193" i="24" s="1"/>
  <c r="F192" i="24"/>
  <c r="G192" i="24" s="1"/>
  <c r="F191" i="24"/>
  <c r="G191" i="24" s="1"/>
  <c r="F190" i="24"/>
  <c r="G190" i="24" s="1"/>
  <c r="F189" i="24"/>
  <c r="G189" i="24" s="1"/>
  <c r="F188" i="24"/>
  <c r="G188" i="24" s="1"/>
  <c r="F187" i="24"/>
  <c r="G187" i="24" s="1"/>
  <c r="F186" i="24"/>
  <c r="G186" i="24" s="1"/>
  <c r="F185" i="24"/>
  <c r="F184" i="24"/>
  <c r="G184" i="24" s="1"/>
  <c r="F183" i="24"/>
  <c r="G183" i="24" s="1"/>
  <c r="F182" i="24"/>
  <c r="G182" i="24" s="1"/>
  <c r="F181" i="24"/>
  <c r="G181" i="24" s="1"/>
  <c r="F180" i="24"/>
  <c r="G180" i="24" s="1"/>
  <c r="F179" i="24"/>
  <c r="G179" i="24" s="1"/>
  <c r="F178" i="24"/>
  <c r="G178" i="24" s="1"/>
  <c r="F177" i="24"/>
  <c r="G177" i="24" s="1"/>
  <c r="F176" i="24"/>
  <c r="G176" i="24" s="1"/>
  <c r="F175" i="24"/>
  <c r="G175" i="24" s="1"/>
  <c r="F174" i="24"/>
  <c r="G174" i="24" s="1"/>
  <c r="F173" i="24"/>
  <c r="G173" i="24" s="1"/>
  <c r="F172" i="24"/>
  <c r="G172" i="24" s="1"/>
  <c r="F171" i="24"/>
  <c r="G171" i="24" s="1"/>
  <c r="F170" i="24"/>
  <c r="G170" i="24" s="1"/>
  <c r="F169" i="24"/>
  <c r="G169" i="24" s="1"/>
  <c r="F168" i="24"/>
  <c r="G168" i="24" s="1"/>
  <c r="F167" i="24"/>
  <c r="G167" i="24" s="1"/>
  <c r="F166" i="24"/>
  <c r="G166" i="24" s="1"/>
  <c r="F165" i="24"/>
  <c r="G165" i="24" s="1"/>
  <c r="F164" i="24"/>
  <c r="G164" i="24" s="1"/>
  <c r="F163" i="24"/>
  <c r="G163" i="24" s="1"/>
  <c r="F162" i="24"/>
  <c r="G162" i="24" s="1"/>
  <c r="F161" i="24"/>
  <c r="G161" i="24" s="1"/>
  <c r="F160" i="24"/>
  <c r="G160" i="24" s="1"/>
  <c r="F159" i="24"/>
  <c r="G159" i="24" s="1"/>
  <c r="F158" i="24"/>
  <c r="G158" i="24" s="1"/>
  <c r="F157" i="24"/>
  <c r="G157" i="24" s="1"/>
  <c r="F156" i="24"/>
  <c r="G156" i="24" s="1"/>
  <c r="F155" i="24"/>
  <c r="G155" i="24" s="1"/>
  <c r="F154" i="24"/>
  <c r="G154" i="24" s="1"/>
  <c r="F153" i="24"/>
  <c r="G153" i="24" s="1"/>
  <c r="F152" i="24"/>
  <c r="G152" i="24" s="1"/>
  <c r="F151" i="24"/>
  <c r="G151" i="24" s="1"/>
  <c r="F150" i="24"/>
  <c r="G150" i="24" s="1"/>
  <c r="F149" i="24"/>
  <c r="G149" i="24" s="1"/>
  <c r="F148" i="24"/>
  <c r="G148" i="24" s="1"/>
  <c r="F147" i="24"/>
  <c r="G147" i="24" s="1"/>
  <c r="F146" i="24"/>
  <c r="G146" i="24" s="1"/>
  <c r="F145" i="24"/>
  <c r="G145" i="24" s="1"/>
  <c r="F144" i="24"/>
  <c r="G144" i="24" s="1"/>
  <c r="F143" i="24"/>
  <c r="G143" i="24" s="1"/>
  <c r="F142" i="24"/>
  <c r="G142" i="24" s="1"/>
  <c r="F141" i="24"/>
  <c r="G141" i="24" s="1"/>
  <c r="F140" i="24"/>
  <c r="G140" i="24" s="1"/>
  <c r="F139" i="24"/>
  <c r="G139" i="24" s="1"/>
  <c r="F138" i="24"/>
  <c r="F137" i="24"/>
  <c r="G137" i="24" s="1"/>
  <c r="F136" i="24"/>
  <c r="G136" i="24" s="1"/>
  <c r="F135" i="24"/>
  <c r="G135" i="24" s="1"/>
  <c r="F134" i="24"/>
  <c r="F133" i="24"/>
  <c r="G133" i="24" s="1"/>
  <c r="F132" i="24"/>
  <c r="G132" i="24" s="1"/>
  <c r="F131" i="24"/>
  <c r="G131" i="24" s="1"/>
  <c r="F130" i="24"/>
  <c r="G130" i="24" s="1"/>
  <c r="F129" i="24"/>
  <c r="G129" i="24" s="1"/>
  <c r="F128" i="24"/>
  <c r="G128" i="24" s="1"/>
  <c r="F127" i="24"/>
  <c r="G127" i="24" s="1"/>
  <c r="F126" i="24"/>
  <c r="G126" i="24" s="1"/>
  <c r="F125" i="24"/>
  <c r="F124" i="24"/>
  <c r="G124" i="24" s="1"/>
  <c r="F123" i="24"/>
  <c r="G123" i="24" s="1"/>
  <c r="F122" i="24"/>
  <c r="G122" i="24" s="1"/>
  <c r="F121" i="24"/>
  <c r="G121" i="24" s="1"/>
  <c r="F120" i="24"/>
  <c r="G120" i="24" s="1"/>
  <c r="F119" i="24"/>
  <c r="G119" i="24" s="1"/>
  <c r="F118" i="24"/>
  <c r="G118" i="24" s="1"/>
  <c r="F117" i="24"/>
  <c r="G117" i="24" s="1"/>
  <c r="F116" i="24"/>
  <c r="G116" i="24" s="1"/>
  <c r="F115" i="24"/>
  <c r="G115" i="24" s="1"/>
  <c r="F114" i="24"/>
  <c r="G114" i="24" s="1"/>
  <c r="F113" i="24"/>
  <c r="G113" i="24" s="1"/>
  <c r="F112" i="24"/>
  <c r="G112" i="24" s="1"/>
  <c r="F111" i="24"/>
  <c r="G111" i="24" s="1"/>
  <c r="F110" i="24"/>
  <c r="G110" i="24" s="1"/>
  <c r="F109" i="24"/>
  <c r="G109" i="24" s="1"/>
  <c r="F108" i="24"/>
  <c r="G108" i="24" s="1"/>
  <c r="F107" i="24"/>
  <c r="G107" i="24" s="1"/>
  <c r="F106" i="24"/>
  <c r="G106" i="24" s="1"/>
  <c r="F105" i="24"/>
  <c r="G105" i="24" s="1"/>
  <c r="F104" i="24"/>
  <c r="G104" i="24" s="1"/>
  <c r="F103" i="24"/>
  <c r="G103" i="24" s="1"/>
  <c r="F102" i="24"/>
  <c r="G102" i="24" s="1"/>
  <c r="F101" i="24"/>
  <c r="F100" i="24"/>
  <c r="G100" i="24" s="1"/>
  <c r="F99" i="24"/>
  <c r="G99" i="24" s="1"/>
  <c r="F98" i="24"/>
  <c r="G98" i="24" s="1"/>
  <c r="F97" i="24"/>
  <c r="G97" i="24" s="1"/>
  <c r="F96" i="24"/>
  <c r="G96" i="24" s="1"/>
  <c r="F95" i="24"/>
  <c r="G95" i="24" s="1"/>
  <c r="F94" i="24"/>
  <c r="G94" i="24" s="1"/>
  <c r="F93" i="24"/>
  <c r="F92" i="24"/>
  <c r="G92" i="24" s="1"/>
  <c r="F91" i="24"/>
  <c r="G91" i="24" s="1"/>
  <c r="F90" i="24"/>
  <c r="G90" i="24" s="1"/>
  <c r="F89" i="24"/>
  <c r="G89" i="24" s="1"/>
  <c r="F88" i="24"/>
  <c r="G88" i="24" s="1"/>
  <c r="F87" i="24"/>
  <c r="G87" i="24" s="1"/>
  <c r="F86" i="24"/>
  <c r="G86" i="24" s="1"/>
  <c r="F85" i="24"/>
  <c r="F84" i="24"/>
  <c r="G84" i="24" s="1"/>
  <c r="F83" i="24"/>
  <c r="G83" i="24" s="1"/>
  <c r="F82" i="24"/>
  <c r="G82" i="24" s="1"/>
  <c r="F81" i="24"/>
  <c r="G81" i="24" s="1"/>
  <c r="F80" i="24"/>
  <c r="G80" i="24" s="1"/>
  <c r="F79" i="24"/>
  <c r="G79" i="24" s="1"/>
  <c r="F78" i="24"/>
  <c r="F77" i="24"/>
  <c r="G77" i="24" s="1"/>
  <c r="F76" i="24"/>
  <c r="G76" i="24" s="1"/>
  <c r="F75" i="24"/>
  <c r="G75" i="24" s="1"/>
  <c r="F74" i="24"/>
  <c r="G74" i="24" s="1"/>
  <c r="F73" i="24"/>
  <c r="G73" i="24" s="1"/>
  <c r="G72" i="24"/>
  <c r="F72" i="24"/>
  <c r="F71" i="24"/>
  <c r="G71" i="24" s="1"/>
  <c r="F70" i="24"/>
  <c r="G70" i="24" s="1"/>
  <c r="F69" i="24"/>
  <c r="G69" i="24" s="1"/>
  <c r="F68" i="24"/>
  <c r="G68" i="24" s="1"/>
  <c r="F67" i="24"/>
  <c r="G67" i="24" s="1"/>
  <c r="F66" i="24"/>
  <c r="G66" i="24" s="1"/>
  <c r="F65" i="24"/>
  <c r="G65" i="24" s="1"/>
  <c r="F64" i="24"/>
  <c r="G64" i="24" s="1"/>
  <c r="F63" i="24"/>
  <c r="G63" i="24" s="1"/>
  <c r="F62" i="24"/>
  <c r="G62" i="24" s="1"/>
  <c r="F61" i="24"/>
  <c r="G61" i="24" s="1"/>
  <c r="F60" i="24"/>
  <c r="G60" i="24" s="1"/>
  <c r="F59" i="24"/>
  <c r="G59" i="24" s="1"/>
  <c r="F58" i="24"/>
  <c r="G58" i="24" s="1"/>
  <c r="F57" i="24"/>
  <c r="G57" i="24" s="1"/>
  <c r="F56" i="24"/>
  <c r="G56" i="24" s="1"/>
  <c r="F55" i="24"/>
  <c r="G55" i="24" s="1"/>
  <c r="F54" i="24"/>
  <c r="G54" i="24" s="1"/>
  <c r="F53" i="24"/>
  <c r="G53" i="24" s="1"/>
  <c r="F52" i="24"/>
  <c r="G52" i="24" s="1"/>
  <c r="F51" i="24"/>
  <c r="G51" i="24" s="1"/>
  <c r="F50" i="24"/>
  <c r="G50" i="24" s="1"/>
  <c r="F49" i="24"/>
  <c r="G49" i="24" s="1"/>
  <c r="F48" i="24"/>
  <c r="G48" i="24" s="1"/>
  <c r="F47" i="24"/>
  <c r="G47" i="24" s="1"/>
  <c r="F46" i="24"/>
  <c r="G46" i="24" s="1"/>
  <c r="F45" i="24"/>
  <c r="G45" i="24" s="1"/>
  <c r="F44" i="24"/>
  <c r="G44" i="24" s="1"/>
  <c r="F43" i="24"/>
  <c r="G43" i="24" s="1"/>
  <c r="F42" i="24"/>
  <c r="G42" i="24" s="1"/>
  <c r="F41" i="24"/>
  <c r="G41" i="24" s="1"/>
  <c r="F40" i="24"/>
  <c r="G40" i="24" s="1"/>
  <c r="F39" i="24"/>
  <c r="G39" i="24" s="1"/>
  <c r="F38" i="24"/>
  <c r="G38" i="24" s="1"/>
  <c r="F37" i="24"/>
  <c r="G37" i="24" s="1"/>
  <c r="F36" i="24"/>
  <c r="G36" i="24" s="1"/>
  <c r="F35" i="24"/>
  <c r="G35" i="24" s="1"/>
  <c r="F34" i="24"/>
  <c r="G34" i="24" s="1"/>
  <c r="F33" i="24"/>
  <c r="G33" i="24" s="1"/>
  <c r="F32" i="24"/>
  <c r="G32" i="24" s="1"/>
  <c r="F31" i="24"/>
  <c r="G31" i="24" s="1"/>
  <c r="F30" i="24"/>
  <c r="G30" i="24" s="1"/>
  <c r="F29" i="24"/>
  <c r="G29" i="24" s="1"/>
  <c r="F28" i="24"/>
  <c r="G28" i="24" s="1"/>
  <c r="F27" i="24"/>
  <c r="G27" i="24" s="1"/>
  <c r="F26" i="24"/>
  <c r="G26" i="24" s="1"/>
  <c r="F25" i="24"/>
  <c r="G25" i="24" s="1"/>
  <c r="F24" i="24"/>
  <c r="G24" i="24" s="1"/>
  <c r="F23" i="24"/>
  <c r="G23" i="24" s="1"/>
  <c r="F22" i="24"/>
  <c r="G22" i="24" s="1"/>
  <c r="F21" i="24"/>
  <c r="G21" i="24" s="1"/>
  <c r="F20" i="24"/>
  <c r="G20" i="24" s="1"/>
  <c r="F19" i="24"/>
  <c r="G19" i="24" s="1"/>
  <c r="F18" i="24"/>
  <c r="G18" i="24" s="1"/>
  <c r="F17" i="24"/>
  <c r="G17" i="24" s="1"/>
  <c r="F16" i="24"/>
  <c r="G16" i="24" s="1"/>
  <c r="F15" i="24"/>
  <c r="G15" i="24" s="1"/>
  <c r="F14" i="24"/>
  <c r="G14" i="24" s="1"/>
  <c r="F13" i="24"/>
  <c r="G13" i="24" s="1"/>
  <c r="F12" i="24"/>
  <c r="G12" i="24" s="1"/>
  <c r="F11" i="24"/>
  <c r="G11" i="24" s="1"/>
  <c r="F10" i="24"/>
  <c r="G10" i="24" s="1"/>
  <c r="F9" i="24"/>
  <c r="G9" i="24" s="1"/>
  <c r="F8" i="24"/>
  <c r="G8" i="24" s="1"/>
  <c r="F7" i="24"/>
  <c r="G7" i="24" s="1"/>
  <c r="F6" i="24"/>
  <c r="G6" i="24" s="1"/>
  <c r="F5" i="24"/>
  <c r="G5" i="24" s="1"/>
  <c r="F4" i="24"/>
  <c r="G4" i="24" s="1"/>
  <c r="F3" i="24"/>
  <c r="G3" i="24" s="1"/>
  <c r="F2" i="24"/>
  <c r="G2" i="24" s="1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8" i="23"/>
  <c r="F288" i="23" s="1"/>
  <c r="G288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E260" i="23"/>
  <c r="F260" i="23" s="1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8" i="22"/>
  <c r="F288" i="22" s="1"/>
  <c r="G288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E260" i="22"/>
  <c r="F260" i="22" s="1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8" i="21"/>
  <c r="F288" i="21" s="1"/>
  <c r="G288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E260" i="21"/>
  <c r="F260" i="21" s="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E1139" i="18"/>
  <c r="F1139" i="18" s="1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E1134" i="18"/>
  <c r="F1134" i="18" s="1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E1093" i="18"/>
  <c r="F1093" i="18" s="1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E808" i="18"/>
  <c r="F808" i="18" s="1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E804" i="18"/>
  <c r="F804" i="18" s="1"/>
  <c r="G804" i="18" s="1"/>
  <c r="E803" i="18"/>
  <c r="F803" i="18" s="1"/>
  <c r="G803" i="18" s="1"/>
  <c r="E802" i="18"/>
  <c r="F802" i="18" s="1"/>
  <c r="G802" i="18" s="1"/>
  <c r="E801" i="18"/>
  <c r="F801" i="18" s="1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E792" i="18"/>
  <c r="F792" i="18" s="1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E785" i="18"/>
  <c r="F785" i="18" s="1"/>
  <c r="G785" i="18" s="1"/>
  <c r="E784" i="18"/>
  <c r="F784" i="18" s="1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E763" i="18"/>
  <c r="F763" i="18" s="1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E759" i="18"/>
  <c r="F759" i="18" s="1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E730" i="18"/>
  <c r="F730" i="18" s="1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E454" i="18"/>
  <c r="F454" i="18" s="1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E450" i="18"/>
  <c r="F450" i="18" s="1"/>
  <c r="G450" i="18" s="1"/>
  <c r="E449" i="18"/>
  <c r="F449" i="18" s="1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E443" i="18"/>
  <c r="F443" i="18" s="1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E439" i="18"/>
  <c r="F439" i="18" s="1"/>
  <c r="G439" i="18" s="1"/>
  <c r="E438" i="18"/>
  <c r="F438" i="18" s="1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E207" i="18"/>
  <c r="F207" i="18" s="1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E203" i="18"/>
  <c r="F203" i="18" s="1"/>
  <c r="G203" i="18" s="1"/>
  <c r="E202" i="18"/>
  <c r="F202" i="18" s="1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E196" i="18"/>
  <c r="F196" i="18" s="1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E192" i="18"/>
  <c r="F192" i="18" s="1"/>
  <c r="G192" i="18" s="1"/>
  <c r="E191" i="18"/>
  <c r="F191" i="18" s="1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E149" i="18"/>
  <c r="F149" i="18" s="1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E123" i="18"/>
  <c r="F123" i="18" s="1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E114" i="18"/>
  <c r="F114" i="18" s="1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M710" i="17"/>
  <c r="R710" i="17" s="1"/>
  <c r="L710" i="17"/>
  <c r="Q710" i="17" s="1"/>
  <c r="K710" i="17"/>
  <c r="P710" i="17" s="1"/>
  <c r="J710" i="17"/>
  <c r="R709" i="17"/>
  <c r="Q709" i="17"/>
  <c r="P709" i="17"/>
  <c r="O709" i="17"/>
  <c r="R708" i="17"/>
  <c r="Q708" i="17"/>
  <c r="O708" i="17"/>
  <c r="M707" i="17"/>
  <c r="R707" i="17" s="1"/>
  <c r="L707" i="17"/>
  <c r="Q707" i="17" s="1"/>
  <c r="K707" i="17"/>
  <c r="P707" i="17" s="1"/>
  <c r="J707" i="17"/>
  <c r="R706" i="17"/>
  <c r="Q706" i="17"/>
  <c r="P706" i="17"/>
  <c r="O706" i="17"/>
  <c r="M705" i="17"/>
  <c r="R705" i="17" s="1"/>
  <c r="L705" i="17"/>
  <c r="Q705" i="17" s="1"/>
  <c r="K705" i="17"/>
  <c r="P705" i="17" s="1"/>
  <c r="J705" i="17"/>
  <c r="M704" i="17"/>
  <c r="R704" i="17" s="1"/>
  <c r="L704" i="17"/>
  <c r="Q704" i="17" s="1"/>
  <c r="K704" i="17"/>
  <c r="P704" i="17" s="1"/>
  <c r="J704" i="17"/>
  <c r="O704" i="17" s="1"/>
  <c r="M703" i="17"/>
  <c r="R703" i="17" s="1"/>
  <c r="L703" i="17"/>
  <c r="Q703" i="17" s="1"/>
  <c r="K703" i="17"/>
  <c r="P703" i="17" s="1"/>
  <c r="J703" i="17"/>
  <c r="M702" i="17"/>
  <c r="R702" i="17" s="1"/>
  <c r="L702" i="17"/>
  <c r="Q702" i="17" s="1"/>
  <c r="K702" i="17"/>
  <c r="P702" i="17" s="1"/>
  <c r="J702" i="17"/>
  <c r="M701" i="17"/>
  <c r="R701" i="17" s="1"/>
  <c r="L701" i="17"/>
  <c r="K701" i="17"/>
  <c r="P701" i="17" s="1"/>
  <c r="J701" i="17"/>
  <c r="O701" i="17" s="1"/>
  <c r="M700" i="17"/>
  <c r="R700" i="17" s="1"/>
  <c r="L700" i="17"/>
  <c r="Q700" i="17" s="1"/>
  <c r="K700" i="17"/>
  <c r="J700" i="17"/>
  <c r="O700" i="17" s="1"/>
  <c r="M699" i="17"/>
  <c r="R699" i="17" s="1"/>
  <c r="L699" i="17"/>
  <c r="Q699" i="17" s="1"/>
  <c r="K699" i="17"/>
  <c r="P699" i="17" s="1"/>
  <c r="J699" i="17"/>
  <c r="M698" i="17"/>
  <c r="R698" i="17" s="1"/>
  <c r="L698" i="17"/>
  <c r="Q698" i="17" s="1"/>
  <c r="K698" i="17"/>
  <c r="P698" i="17" s="1"/>
  <c r="J698" i="17"/>
  <c r="O698" i="17" s="1"/>
  <c r="M697" i="17"/>
  <c r="R697" i="17" s="1"/>
  <c r="L697" i="17"/>
  <c r="Q697" i="17" s="1"/>
  <c r="K697" i="17"/>
  <c r="P697" i="17" s="1"/>
  <c r="J697" i="17"/>
  <c r="M696" i="17"/>
  <c r="R696" i="17" s="1"/>
  <c r="L696" i="17"/>
  <c r="Q696" i="17" s="1"/>
  <c r="K696" i="17"/>
  <c r="P696" i="17" s="1"/>
  <c r="J696" i="17"/>
  <c r="O696" i="17" s="1"/>
  <c r="M695" i="17"/>
  <c r="R695" i="17" s="1"/>
  <c r="L695" i="17"/>
  <c r="Q695" i="17" s="1"/>
  <c r="K695" i="17"/>
  <c r="P695" i="17" s="1"/>
  <c r="J695" i="17"/>
  <c r="M694" i="17"/>
  <c r="R694" i="17" s="1"/>
  <c r="L694" i="17"/>
  <c r="Q694" i="17" s="1"/>
  <c r="K694" i="17"/>
  <c r="P694" i="17" s="1"/>
  <c r="J694" i="17"/>
  <c r="O694" i="17" s="1"/>
  <c r="M693" i="17"/>
  <c r="R693" i="17" s="1"/>
  <c r="L693" i="17"/>
  <c r="Q693" i="17" s="1"/>
  <c r="K693" i="17"/>
  <c r="P693" i="17" s="1"/>
  <c r="J693" i="17"/>
  <c r="O693" i="17" s="1"/>
  <c r="M692" i="17"/>
  <c r="R692" i="17" s="1"/>
  <c r="L692" i="17"/>
  <c r="Q692" i="17" s="1"/>
  <c r="K692" i="17"/>
  <c r="P692" i="17" s="1"/>
  <c r="J692" i="17"/>
  <c r="M691" i="17"/>
  <c r="R691" i="17" s="1"/>
  <c r="L691" i="17"/>
  <c r="Q691" i="17" s="1"/>
  <c r="K691" i="17"/>
  <c r="P691" i="17" s="1"/>
  <c r="J691" i="17"/>
  <c r="M690" i="17"/>
  <c r="R690" i="17" s="1"/>
  <c r="L690" i="17"/>
  <c r="Q690" i="17" s="1"/>
  <c r="K690" i="17"/>
  <c r="P690" i="17" s="1"/>
  <c r="J690" i="17"/>
  <c r="O690" i="17" s="1"/>
  <c r="M689" i="17"/>
  <c r="R689" i="17" s="1"/>
  <c r="L689" i="17"/>
  <c r="Q689" i="17" s="1"/>
  <c r="K689" i="17"/>
  <c r="P689" i="17" s="1"/>
  <c r="J689" i="17"/>
  <c r="M688" i="17"/>
  <c r="R688" i="17" s="1"/>
  <c r="L688" i="17"/>
  <c r="Q688" i="17" s="1"/>
  <c r="K688" i="17"/>
  <c r="P688" i="17" s="1"/>
  <c r="J688" i="17"/>
  <c r="O688" i="17" s="1"/>
  <c r="M687" i="17"/>
  <c r="R687" i="17" s="1"/>
  <c r="L687" i="17"/>
  <c r="Q687" i="17" s="1"/>
  <c r="K687" i="17"/>
  <c r="P687" i="17" s="1"/>
  <c r="J687" i="17"/>
  <c r="M686" i="17"/>
  <c r="R686" i="17" s="1"/>
  <c r="L686" i="17"/>
  <c r="Q686" i="17" s="1"/>
  <c r="K686" i="17"/>
  <c r="P686" i="17" s="1"/>
  <c r="J686" i="17"/>
  <c r="M685" i="17"/>
  <c r="R685" i="17" s="1"/>
  <c r="L685" i="17"/>
  <c r="Q685" i="17" s="1"/>
  <c r="K685" i="17"/>
  <c r="P685" i="17" s="1"/>
  <c r="J685" i="17"/>
  <c r="O685" i="17" s="1"/>
  <c r="M684" i="17"/>
  <c r="R684" i="17" s="1"/>
  <c r="L684" i="17"/>
  <c r="Q684" i="17" s="1"/>
  <c r="K684" i="17"/>
  <c r="P684" i="17" s="1"/>
  <c r="J684" i="17"/>
  <c r="M683" i="17"/>
  <c r="R683" i="17" s="1"/>
  <c r="L683" i="17"/>
  <c r="Q683" i="17" s="1"/>
  <c r="K683" i="17"/>
  <c r="P683" i="17" s="1"/>
  <c r="J683" i="17"/>
  <c r="M682" i="17"/>
  <c r="R682" i="17" s="1"/>
  <c r="L682" i="17"/>
  <c r="Q682" i="17" s="1"/>
  <c r="K682" i="17"/>
  <c r="P682" i="17" s="1"/>
  <c r="J682" i="17"/>
  <c r="M681" i="17"/>
  <c r="R681" i="17" s="1"/>
  <c r="L681" i="17"/>
  <c r="Q681" i="17" s="1"/>
  <c r="K681" i="17"/>
  <c r="P681" i="17" s="1"/>
  <c r="J681" i="17"/>
  <c r="O681" i="17" s="1"/>
  <c r="M680" i="17"/>
  <c r="R680" i="17" s="1"/>
  <c r="L680" i="17"/>
  <c r="Q680" i="17" s="1"/>
  <c r="K680" i="17"/>
  <c r="P680" i="17" s="1"/>
  <c r="J680" i="17"/>
  <c r="O680" i="17" s="1"/>
  <c r="M679" i="17"/>
  <c r="R679" i="17" s="1"/>
  <c r="L679" i="17"/>
  <c r="Q679" i="17" s="1"/>
  <c r="K679" i="17"/>
  <c r="P679" i="17" s="1"/>
  <c r="J679" i="17"/>
  <c r="M678" i="17"/>
  <c r="R678" i="17" s="1"/>
  <c r="L678" i="17"/>
  <c r="Q678" i="17" s="1"/>
  <c r="K678" i="17"/>
  <c r="J678" i="17"/>
  <c r="O678" i="17" s="1"/>
  <c r="M677" i="17"/>
  <c r="R677" i="17" s="1"/>
  <c r="L677" i="17"/>
  <c r="Q677" i="17" s="1"/>
  <c r="K677" i="17"/>
  <c r="P677" i="17" s="1"/>
  <c r="J677" i="17"/>
  <c r="O677" i="17" s="1"/>
  <c r="M676" i="17"/>
  <c r="R676" i="17" s="1"/>
  <c r="L676" i="17"/>
  <c r="Q676" i="17" s="1"/>
  <c r="K676" i="17"/>
  <c r="P676" i="17" s="1"/>
  <c r="J676" i="17"/>
  <c r="M675" i="17"/>
  <c r="R675" i="17" s="1"/>
  <c r="L675" i="17"/>
  <c r="Q675" i="17" s="1"/>
  <c r="K675" i="17"/>
  <c r="P675" i="17" s="1"/>
  <c r="J675" i="17"/>
  <c r="M674" i="17"/>
  <c r="R674" i="17" s="1"/>
  <c r="L674" i="17"/>
  <c r="Q674" i="17" s="1"/>
  <c r="K674" i="17"/>
  <c r="P674" i="17" s="1"/>
  <c r="J674" i="17"/>
  <c r="M673" i="17"/>
  <c r="R673" i="17" s="1"/>
  <c r="L673" i="17"/>
  <c r="Q673" i="17" s="1"/>
  <c r="K673" i="17"/>
  <c r="P673" i="17" s="1"/>
  <c r="J673" i="17"/>
  <c r="M672" i="17"/>
  <c r="R672" i="17" s="1"/>
  <c r="L672" i="17"/>
  <c r="Q672" i="17" s="1"/>
  <c r="K672" i="17"/>
  <c r="P672" i="17" s="1"/>
  <c r="J672" i="17"/>
  <c r="O672" i="17" s="1"/>
  <c r="M671" i="17"/>
  <c r="R671" i="17" s="1"/>
  <c r="L671" i="17"/>
  <c r="Q671" i="17" s="1"/>
  <c r="K671" i="17"/>
  <c r="P671" i="17" s="1"/>
  <c r="J671" i="17"/>
  <c r="M670" i="17"/>
  <c r="R670" i="17" s="1"/>
  <c r="L670" i="17"/>
  <c r="Q670" i="17" s="1"/>
  <c r="K670" i="17"/>
  <c r="J670" i="17"/>
  <c r="O670" i="17" s="1"/>
  <c r="M669" i="17"/>
  <c r="R669" i="17" s="1"/>
  <c r="L669" i="17"/>
  <c r="Q669" i="17" s="1"/>
  <c r="K669" i="17"/>
  <c r="P669" i="17" s="1"/>
  <c r="J669" i="17"/>
  <c r="O669" i="17" s="1"/>
  <c r="M668" i="17"/>
  <c r="R668" i="17" s="1"/>
  <c r="L668" i="17"/>
  <c r="Q668" i="17" s="1"/>
  <c r="K668" i="17"/>
  <c r="P668" i="17" s="1"/>
  <c r="J668" i="17"/>
  <c r="O668" i="17" s="1"/>
  <c r="M667" i="17"/>
  <c r="R667" i="17" s="1"/>
  <c r="L667" i="17"/>
  <c r="Q667" i="17" s="1"/>
  <c r="K667" i="17"/>
  <c r="P667" i="17" s="1"/>
  <c r="J667" i="17"/>
  <c r="O667" i="17" s="1"/>
  <c r="M666" i="17"/>
  <c r="R666" i="17" s="1"/>
  <c r="L666" i="17"/>
  <c r="Q666" i="17" s="1"/>
  <c r="K666" i="17"/>
  <c r="P666" i="17" s="1"/>
  <c r="J666" i="17"/>
  <c r="M665" i="17"/>
  <c r="R665" i="17" s="1"/>
  <c r="L665" i="17"/>
  <c r="Q665" i="17" s="1"/>
  <c r="K665" i="17"/>
  <c r="P665" i="17" s="1"/>
  <c r="J665" i="17"/>
  <c r="M664" i="17"/>
  <c r="R664" i="17" s="1"/>
  <c r="L664" i="17"/>
  <c r="Q664" i="17" s="1"/>
  <c r="K664" i="17"/>
  <c r="P664" i="17" s="1"/>
  <c r="J664" i="17"/>
  <c r="M663" i="17"/>
  <c r="R663" i="17" s="1"/>
  <c r="L663" i="17"/>
  <c r="Q663" i="17" s="1"/>
  <c r="K663" i="17"/>
  <c r="P663" i="17" s="1"/>
  <c r="J663" i="17"/>
  <c r="M662" i="17"/>
  <c r="R662" i="17" s="1"/>
  <c r="L662" i="17"/>
  <c r="Q662" i="17" s="1"/>
  <c r="K662" i="17"/>
  <c r="J662" i="17"/>
  <c r="O662" i="17" s="1"/>
  <c r="M661" i="17"/>
  <c r="R661" i="17" s="1"/>
  <c r="L661" i="17"/>
  <c r="Q661" i="17" s="1"/>
  <c r="K661" i="17"/>
  <c r="P661" i="17" s="1"/>
  <c r="J661" i="17"/>
  <c r="O661" i="17" s="1"/>
  <c r="M660" i="17"/>
  <c r="R660" i="17" s="1"/>
  <c r="L660" i="17"/>
  <c r="Q660" i="17" s="1"/>
  <c r="K660" i="17"/>
  <c r="P660" i="17" s="1"/>
  <c r="J660" i="17"/>
  <c r="O660" i="17" s="1"/>
  <c r="M659" i="17"/>
  <c r="R659" i="17" s="1"/>
  <c r="L659" i="17"/>
  <c r="Q659" i="17" s="1"/>
  <c r="K659" i="17"/>
  <c r="P659" i="17" s="1"/>
  <c r="J659" i="17"/>
  <c r="M658" i="17"/>
  <c r="R658" i="17" s="1"/>
  <c r="L658" i="17"/>
  <c r="Q658" i="17" s="1"/>
  <c r="K658" i="17"/>
  <c r="P658" i="17" s="1"/>
  <c r="J658" i="17"/>
  <c r="O658" i="17" s="1"/>
  <c r="M657" i="17"/>
  <c r="R657" i="17" s="1"/>
  <c r="L657" i="17"/>
  <c r="Q657" i="17" s="1"/>
  <c r="K657" i="17"/>
  <c r="P657" i="17" s="1"/>
  <c r="J657" i="17"/>
  <c r="M656" i="17"/>
  <c r="R656" i="17" s="1"/>
  <c r="L656" i="17"/>
  <c r="Q656" i="17" s="1"/>
  <c r="K656" i="17"/>
  <c r="P656" i="17" s="1"/>
  <c r="J656" i="17"/>
  <c r="M655" i="17"/>
  <c r="R655" i="17" s="1"/>
  <c r="L655" i="17"/>
  <c r="Q655" i="17" s="1"/>
  <c r="K655" i="17"/>
  <c r="P655" i="17" s="1"/>
  <c r="J655" i="17"/>
  <c r="M654" i="17"/>
  <c r="R654" i="17" s="1"/>
  <c r="L654" i="17"/>
  <c r="Q654" i="17" s="1"/>
  <c r="K654" i="17"/>
  <c r="P654" i="17" s="1"/>
  <c r="J654" i="17"/>
  <c r="O654" i="17" s="1"/>
  <c r="M653" i="17"/>
  <c r="R653" i="17" s="1"/>
  <c r="L653" i="17"/>
  <c r="Q653" i="17" s="1"/>
  <c r="K653" i="17"/>
  <c r="J653" i="17"/>
  <c r="O653" i="17" s="1"/>
  <c r="M652" i="17"/>
  <c r="R652" i="17" s="1"/>
  <c r="L652" i="17"/>
  <c r="Q652" i="17" s="1"/>
  <c r="K652" i="17"/>
  <c r="P652" i="17" s="1"/>
  <c r="J652" i="17"/>
  <c r="O652" i="17" s="1"/>
  <c r="M651" i="17"/>
  <c r="R651" i="17" s="1"/>
  <c r="L651" i="17"/>
  <c r="Q651" i="17" s="1"/>
  <c r="K651" i="17"/>
  <c r="P651" i="17" s="1"/>
  <c r="J651" i="17"/>
  <c r="O651" i="17" s="1"/>
  <c r="M650" i="17"/>
  <c r="R650" i="17" s="1"/>
  <c r="L650" i="17"/>
  <c r="Q650" i="17" s="1"/>
  <c r="K650" i="17"/>
  <c r="P650" i="17" s="1"/>
  <c r="J650" i="17"/>
  <c r="O650" i="17" s="1"/>
  <c r="M649" i="17"/>
  <c r="R649" i="17" s="1"/>
  <c r="L649" i="17"/>
  <c r="Q649" i="17" s="1"/>
  <c r="K649" i="17"/>
  <c r="P649" i="17" s="1"/>
  <c r="J649" i="17"/>
  <c r="O649" i="17" s="1"/>
  <c r="M648" i="17"/>
  <c r="R648" i="17" s="1"/>
  <c r="L648" i="17"/>
  <c r="Q648" i="17" s="1"/>
  <c r="K648" i="17"/>
  <c r="P648" i="17" s="1"/>
  <c r="J648" i="17"/>
  <c r="M647" i="17"/>
  <c r="R647" i="17" s="1"/>
  <c r="L647" i="17"/>
  <c r="Q647" i="17" s="1"/>
  <c r="K647" i="17"/>
  <c r="P647" i="17" s="1"/>
  <c r="J647" i="17"/>
  <c r="M646" i="17"/>
  <c r="R646" i="17" s="1"/>
  <c r="L646" i="17"/>
  <c r="Q646" i="17" s="1"/>
  <c r="K646" i="17"/>
  <c r="P646" i="17" s="1"/>
  <c r="J646" i="17"/>
  <c r="O646" i="17" s="1"/>
  <c r="M645" i="17"/>
  <c r="R645" i="17" s="1"/>
  <c r="L645" i="17"/>
  <c r="Q645" i="17" s="1"/>
  <c r="K645" i="17"/>
  <c r="J645" i="17"/>
  <c r="O645" i="17" s="1"/>
  <c r="M644" i="17"/>
  <c r="R644" i="17" s="1"/>
  <c r="L644" i="17"/>
  <c r="Q644" i="17" s="1"/>
  <c r="K644" i="17"/>
  <c r="J644" i="17"/>
  <c r="O644" i="17" s="1"/>
  <c r="M643" i="17"/>
  <c r="R643" i="17" s="1"/>
  <c r="L643" i="17"/>
  <c r="Q643" i="17" s="1"/>
  <c r="K643" i="17"/>
  <c r="P643" i="17" s="1"/>
  <c r="J643" i="17"/>
  <c r="O643" i="17" s="1"/>
  <c r="M642" i="17"/>
  <c r="R642" i="17" s="1"/>
  <c r="L642" i="17"/>
  <c r="Q642" i="17" s="1"/>
  <c r="K642" i="17"/>
  <c r="P642" i="17" s="1"/>
  <c r="J642" i="17"/>
  <c r="O642" i="17" s="1"/>
  <c r="M641" i="17"/>
  <c r="R641" i="17" s="1"/>
  <c r="L641" i="17"/>
  <c r="Q641" i="17" s="1"/>
  <c r="K641" i="17"/>
  <c r="P641" i="17" s="1"/>
  <c r="J641" i="17"/>
  <c r="O641" i="17" s="1"/>
  <c r="M640" i="17"/>
  <c r="R640" i="17" s="1"/>
  <c r="L640" i="17"/>
  <c r="Q640" i="17" s="1"/>
  <c r="K640" i="17"/>
  <c r="P640" i="17" s="1"/>
  <c r="J640" i="17"/>
  <c r="O640" i="17" s="1"/>
  <c r="M639" i="17"/>
  <c r="R639" i="17" s="1"/>
  <c r="L639" i="17"/>
  <c r="Q639" i="17" s="1"/>
  <c r="K639" i="17"/>
  <c r="P639" i="17" s="1"/>
  <c r="J639" i="17"/>
  <c r="M638" i="17"/>
  <c r="R638" i="17" s="1"/>
  <c r="L638" i="17"/>
  <c r="Q638" i="17" s="1"/>
  <c r="K638" i="17"/>
  <c r="P638" i="17" s="1"/>
  <c r="J638" i="17"/>
  <c r="O638" i="17" s="1"/>
  <c r="M637" i="17"/>
  <c r="R637" i="17" s="1"/>
  <c r="L637" i="17"/>
  <c r="Q637" i="17" s="1"/>
  <c r="K637" i="17"/>
  <c r="J637" i="17"/>
  <c r="O637" i="17" s="1"/>
  <c r="M636" i="17"/>
  <c r="R636" i="17" s="1"/>
  <c r="L636" i="17"/>
  <c r="Q636" i="17" s="1"/>
  <c r="K636" i="17"/>
  <c r="J636" i="17"/>
  <c r="O636" i="17" s="1"/>
  <c r="M635" i="17"/>
  <c r="R635" i="17" s="1"/>
  <c r="L635" i="17"/>
  <c r="Q635" i="17" s="1"/>
  <c r="K635" i="17"/>
  <c r="P635" i="17" s="1"/>
  <c r="J635" i="17"/>
  <c r="M634" i="17"/>
  <c r="R634" i="17" s="1"/>
  <c r="L634" i="17"/>
  <c r="Q634" i="17" s="1"/>
  <c r="K634" i="17"/>
  <c r="P634" i="17" s="1"/>
  <c r="J634" i="17"/>
  <c r="M633" i="17"/>
  <c r="R633" i="17" s="1"/>
  <c r="L633" i="17"/>
  <c r="Q633" i="17" s="1"/>
  <c r="K633" i="17"/>
  <c r="P633" i="17" s="1"/>
  <c r="J633" i="17"/>
  <c r="O633" i="17" s="1"/>
  <c r="M632" i="17"/>
  <c r="R632" i="17" s="1"/>
  <c r="L632" i="17"/>
  <c r="Q632" i="17" s="1"/>
  <c r="K632" i="17"/>
  <c r="P632" i="17" s="1"/>
  <c r="J632" i="17"/>
  <c r="O632" i="17" s="1"/>
  <c r="M631" i="17"/>
  <c r="R631" i="17" s="1"/>
  <c r="L631" i="17"/>
  <c r="Q631" i="17" s="1"/>
  <c r="K631" i="17"/>
  <c r="P631" i="17" s="1"/>
  <c r="J631" i="17"/>
  <c r="M630" i="17"/>
  <c r="R630" i="17" s="1"/>
  <c r="L630" i="17"/>
  <c r="Q630" i="17" s="1"/>
  <c r="K630" i="17"/>
  <c r="P630" i="17" s="1"/>
  <c r="J630" i="17"/>
  <c r="M629" i="17"/>
  <c r="R629" i="17" s="1"/>
  <c r="L629" i="17"/>
  <c r="Q629" i="17" s="1"/>
  <c r="K629" i="17"/>
  <c r="J629" i="17"/>
  <c r="O629" i="17" s="1"/>
  <c r="M628" i="17"/>
  <c r="R628" i="17" s="1"/>
  <c r="L628" i="17"/>
  <c r="Q628" i="17" s="1"/>
  <c r="K628" i="17"/>
  <c r="J628" i="17"/>
  <c r="O628" i="17" s="1"/>
  <c r="M627" i="17"/>
  <c r="R627" i="17" s="1"/>
  <c r="L627" i="17"/>
  <c r="K627" i="17"/>
  <c r="P627" i="17" s="1"/>
  <c r="J627" i="17"/>
  <c r="O627" i="17" s="1"/>
  <c r="M626" i="17"/>
  <c r="R626" i="17" s="1"/>
  <c r="L626" i="17"/>
  <c r="K626" i="17"/>
  <c r="P626" i="17" s="1"/>
  <c r="J626" i="17"/>
  <c r="O626" i="17" s="1"/>
  <c r="M625" i="17"/>
  <c r="R625" i="17" s="1"/>
  <c r="L625" i="17"/>
  <c r="Q625" i="17" s="1"/>
  <c r="K625" i="17"/>
  <c r="P625" i="17" s="1"/>
  <c r="J625" i="17"/>
  <c r="O625" i="17" s="1"/>
  <c r="M624" i="17"/>
  <c r="R624" i="17" s="1"/>
  <c r="L624" i="17"/>
  <c r="Q624" i="17" s="1"/>
  <c r="K624" i="17"/>
  <c r="P624" i="17" s="1"/>
  <c r="J624" i="17"/>
  <c r="O624" i="17" s="1"/>
  <c r="M623" i="17"/>
  <c r="R623" i="17" s="1"/>
  <c r="L623" i="17"/>
  <c r="Q623" i="17" s="1"/>
  <c r="K623" i="17"/>
  <c r="P623" i="17" s="1"/>
  <c r="J623" i="17"/>
  <c r="M622" i="17"/>
  <c r="R622" i="17" s="1"/>
  <c r="L622" i="17"/>
  <c r="Q622" i="17" s="1"/>
  <c r="K622" i="17"/>
  <c r="P622" i="17" s="1"/>
  <c r="J622" i="17"/>
  <c r="O622" i="17" s="1"/>
  <c r="M621" i="17"/>
  <c r="R621" i="17" s="1"/>
  <c r="L621" i="17"/>
  <c r="Q621" i="17" s="1"/>
  <c r="K621" i="17"/>
  <c r="P621" i="17" s="1"/>
  <c r="J621" i="17"/>
  <c r="O621" i="17" s="1"/>
  <c r="M620" i="17"/>
  <c r="R620" i="17" s="1"/>
  <c r="L620" i="17"/>
  <c r="Q620" i="17" s="1"/>
  <c r="K620" i="17"/>
  <c r="J620" i="17"/>
  <c r="O620" i="17" s="1"/>
  <c r="M619" i="17"/>
  <c r="R619" i="17" s="1"/>
  <c r="L619" i="17"/>
  <c r="Q619" i="17" s="1"/>
  <c r="K619" i="17"/>
  <c r="P619" i="17" s="1"/>
  <c r="J619" i="17"/>
  <c r="M618" i="17"/>
  <c r="R618" i="17" s="1"/>
  <c r="L618" i="17"/>
  <c r="Q618" i="17" s="1"/>
  <c r="K618" i="17"/>
  <c r="P618" i="17" s="1"/>
  <c r="J618" i="17"/>
  <c r="M617" i="17"/>
  <c r="R617" i="17" s="1"/>
  <c r="L617" i="17"/>
  <c r="Q617" i="17" s="1"/>
  <c r="K617" i="17"/>
  <c r="P617" i="17" s="1"/>
  <c r="J617" i="17"/>
  <c r="M616" i="17"/>
  <c r="R616" i="17" s="1"/>
  <c r="L616" i="17"/>
  <c r="Q616" i="17" s="1"/>
  <c r="K616" i="17"/>
  <c r="P616" i="17" s="1"/>
  <c r="J616" i="17"/>
  <c r="O616" i="17" s="1"/>
  <c r="M615" i="17"/>
  <c r="R615" i="17" s="1"/>
  <c r="L615" i="17"/>
  <c r="Q615" i="17" s="1"/>
  <c r="K615" i="17"/>
  <c r="P615" i="17" s="1"/>
  <c r="J615" i="17"/>
  <c r="M614" i="17"/>
  <c r="R614" i="17" s="1"/>
  <c r="L614" i="17"/>
  <c r="Q614" i="17" s="1"/>
  <c r="K614" i="17"/>
  <c r="J614" i="17"/>
  <c r="O614" i="17" s="1"/>
  <c r="M613" i="17"/>
  <c r="R613" i="17" s="1"/>
  <c r="L613" i="17"/>
  <c r="K613" i="17"/>
  <c r="P613" i="17" s="1"/>
  <c r="J613" i="17"/>
  <c r="O613" i="17" s="1"/>
  <c r="M612" i="17"/>
  <c r="R612" i="17" s="1"/>
  <c r="L612" i="17"/>
  <c r="Q612" i="17" s="1"/>
  <c r="K612" i="17"/>
  <c r="P612" i="17" s="1"/>
  <c r="J612" i="17"/>
  <c r="M611" i="17"/>
  <c r="R611" i="17" s="1"/>
  <c r="L611" i="17"/>
  <c r="Q611" i="17" s="1"/>
  <c r="K611" i="17"/>
  <c r="P611" i="17" s="1"/>
  <c r="J611" i="17"/>
  <c r="O611" i="17" s="1"/>
  <c r="M610" i="17"/>
  <c r="R610" i="17" s="1"/>
  <c r="L610" i="17"/>
  <c r="Q610" i="17" s="1"/>
  <c r="K610" i="17"/>
  <c r="P610" i="17" s="1"/>
  <c r="J610" i="17"/>
  <c r="M609" i="17"/>
  <c r="R609" i="17" s="1"/>
  <c r="L609" i="17"/>
  <c r="Q609" i="17" s="1"/>
  <c r="K609" i="17"/>
  <c r="P609" i="17" s="1"/>
  <c r="J609" i="17"/>
  <c r="M608" i="17"/>
  <c r="R608" i="17" s="1"/>
  <c r="L608" i="17"/>
  <c r="Q608" i="17" s="1"/>
  <c r="K608" i="17"/>
  <c r="P608" i="17" s="1"/>
  <c r="J608" i="17"/>
  <c r="M607" i="17"/>
  <c r="R607" i="17" s="1"/>
  <c r="L607" i="17"/>
  <c r="Q607" i="17" s="1"/>
  <c r="K607" i="17"/>
  <c r="P607" i="17" s="1"/>
  <c r="J607" i="17"/>
  <c r="M606" i="17"/>
  <c r="R606" i="17" s="1"/>
  <c r="L606" i="17"/>
  <c r="Q606" i="17" s="1"/>
  <c r="K606" i="17"/>
  <c r="J606" i="17"/>
  <c r="O606" i="17" s="1"/>
  <c r="M605" i="17"/>
  <c r="R605" i="17" s="1"/>
  <c r="L605" i="17"/>
  <c r="Q605" i="17" s="1"/>
  <c r="K605" i="17"/>
  <c r="P605" i="17" s="1"/>
  <c r="J605" i="17"/>
  <c r="O605" i="17" s="1"/>
  <c r="M604" i="17"/>
  <c r="R604" i="17" s="1"/>
  <c r="L604" i="17"/>
  <c r="K604" i="17"/>
  <c r="P604" i="17" s="1"/>
  <c r="J604" i="17"/>
  <c r="O604" i="17" s="1"/>
  <c r="M603" i="17"/>
  <c r="R603" i="17" s="1"/>
  <c r="L603" i="17"/>
  <c r="Q603" i="17" s="1"/>
  <c r="K603" i="17"/>
  <c r="P603" i="17" s="1"/>
  <c r="J603" i="17"/>
  <c r="O603" i="17" s="1"/>
  <c r="M602" i="17"/>
  <c r="R602" i="17" s="1"/>
  <c r="L602" i="17"/>
  <c r="Q602" i="17" s="1"/>
  <c r="K602" i="17"/>
  <c r="P602" i="17" s="1"/>
  <c r="J602" i="17"/>
  <c r="O602" i="17" s="1"/>
  <c r="M601" i="17"/>
  <c r="R601" i="17" s="1"/>
  <c r="L601" i="17"/>
  <c r="Q601" i="17" s="1"/>
  <c r="K601" i="17"/>
  <c r="P601" i="17" s="1"/>
  <c r="J601" i="17"/>
  <c r="O601" i="17" s="1"/>
  <c r="M600" i="17"/>
  <c r="R600" i="17" s="1"/>
  <c r="L600" i="17"/>
  <c r="Q600" i="17" s="1"/>
  <c r="K600" i="17"/>
  <c r="P600" i="17" s="1"/>
  <c r="J600" i="17"/>
  <c r="M599" i="17"/>
  <c r="R599" i="17" s="1"/>
  <c r="L599" i="17"/>
  <c r="Q599" i="17" s="1"/>
  <c r="K599" i="17"/>
  <c r="P599" i="17" s="1"/>
  <c r="J599" i="17"/>
  <c r="M598" i="17"/>
  <c r="R598" i="17" s="1"/>
  <c r="L598" i="17"/>
  <c r="Q598" i="17" s="1"/>
  <c r="K598" i="17"/>
  <c r="P598" i="17" s="1"/>
  <c r="J598" i="17"/>
  <c r="O598" i="17" s="1"/>
  <c r="M597" i="17"/>
  <c r="R597" i="17" s="1"/>
  <c r="L597" i="17"/>
  <c r="Q597" i="17" s="1"/>
  <c r="K597" i="17"/>
  <c r="P597" i="17" s="1"/>
  <c r="J597" i="17"/>
  <c r="O597" i="17" s="1"/>
  <c r="M596" i="17"/>
  <c r="R596" i="17" s="1"/>
  <c r="L596" i="17"/>
  <c r="Q596" i="17" s="1"/>
  <c r="K596" i="17"/>
  <c r="J596" i="17"/>
  <c r="O596" i="17" s="1"/>
  <c r="M595" i="17"/>
  <c r="R595" i="17" s="1"/>
  <c r="L595" i="17"/>
  <c r="Q595" i="17" s="1"/>
  <c r="K595" i="17"/>
  <c r="P595" i="17" s="1"/>
  <c r="J595" i="17"/>
  <c r="O595" i="17" s="1"/>
  <c r="M594" i="17"/>
  <c r="R594" i="17" s="1"/>
  <c r="L594" i="17"/>
  <c r="Q594" i="17" s="1"/>
  <c r="K594" i="17"/>
  <c r="P594" i="17" s="1"/>
  <c r="J594" i="17"/>
  <c r="M593" i="17"/>
  <c r="R593" i="17" s="1"/>
  <c r="L593" i="17"/>
  <c r="Q593" i="17" s="1"/>
  <c r="K593" i="17"/>
  <c r="P593" i="17" s="1"/>
  <c r="J593" i="17"/>
  <c r="M592" i="17"/>
  <c r="R592" i="17" s="1"/>
  <c r="L592" i="17"/>
  <c r="Q592" i="17" s="1"/>
  <c r="K592" i="17"/>
  <c r="P592" i="17" s="1"/>
  <c r="J592" i="17"/>
  <c r="M591" i="17"/>
  <c r="R591" i="17" s="1"/>
  <c r="L591" i="17"/>
  <c r="Q591" i="17" s="1"/>
  <c r="K591" i="17"/>
  <c r="P591" i="17" s="1"/>
  <c r="J591" i="17"/>
  <c r="M590" i="17"/>
  <c r="R590" i="17" s="1"/>
  <c r="L590" i="17"/>
  <c r="Q590" i="17" s="1"/>
  <c r="K590" i="17"/>
  <c r="P590" i="17" s="1"/>
  <c r="J590" i="17"/>
  <c r="O590" i="17" s="1"/>
  <c r="M589" i="17"/>
  <c r="R589" i="17" s="1"/>
  <c r="L589" i="17"/>
  <c r="Q589" i="17" s="1"/>
  <c r="K589" i="17"/>
  <c r="J589" i="17"/>
  <c r="O589" i="17" s="1"/>
  <c r="M588" i="17"/>
  <c r="R588" i="17" s="1"/>
  <c r="L588" i="17"/>
  <c r="Q588" i="17" s="1"/>
  <c r="K588" i="17"/>
  <c r="P588" i="17" s="1"/>
  <c r="J588" i="17"/>
  <c r="O588" i="17" s="1"/>
  <c r="M587" i="17"/>
  <c r="R587" i="17" s="1"/>
  <c r="L587" i="17"/>
  <c r="Q587" i="17" s="1"/>
  <c r="K587" i="17"/>
  <c r="P587" i="17" s="1"/>
  <c r="J587" i="17"/>
  <c r="M586" i="17"/>
  <c r="R586" i="17" s="1"/>
  <c r="L586" i="17"/>
  <c r="Q586" i="17" s="1"/>
  <c r="K586" i="17"/>
  <c r="P586" i="17" s="1"/>
  <c r="J586" i="17"/>
  <c r="O586" i="17" s="1"/>
  <c r="M585" i="17"/>
  <c r="R585" i="17" s="1"/>
  <c r="L585" i="17"/>
  <c r="Q585" i="17" s="1"/>
  <c r="K585" i="17"/>
  <c r="P585" i="17" s="1"/>
  <c r="J585" i="17"/>
  <c r="M584" i="17"/>
  <c r="R584" i="17" s="1"/>
  <c r="L584" i="17"/>
  <c r="Q584" i="17" s="1"/>
  <c r="K584" i="17"/>
  <c r="P584" i="17" s="1"/>
  <c r="J584" i="17"/>
  <c r="O584" i="17" s="1"/>
  <c r="M583" i="17"/>
  <c r="R583" i="17" s="1"/>
  <c r="L583" i="17"/>
  <c r="Q583" i="17" s="1"/>
  <c r="K583" i="17"/>
  <c r="P583" i="17" s="1"/>
  <c r="J583" i="17"/>
  <c r="M582" i="17"/>
  <c r="R582" i="17" s="1"/>
  <c r="L582" i="17"/>
  <c r="Q582" i="17" s="1"/>
  <c r="K582" i="17"/>
  <c r="P582" i="17" s="1"/>
  <c r="J582" i="17"/>
  <c r="O582" i="17" s="1"/>
  <c r="M581" i="17"/>
  <c r="R581" i="17" s="1"/>
  <c r="L581" i="17"/>
  <c r="Q581" i="17" s="1"/>
  <c r="K581" i="17"/>
  <c r="P581" i="17" s="1"/>
  <c r="J581" i="17"/>
  <c r="O581" i="17" s="1"/>
  <c r="M580" i="17"/>
  <c r="R580" i="17" s="1"/>
  <c r="L580" i="17"/>
  <c r="Q580" i="17" s="1"/>
  <c r="K580" i="17"/>
  <c r="P580" i="17" s="1"/>
  <c r="J580" i="17"/>
  <c r="O580" i="17" s="1"/>
  <c r="M579" i="17"/>
  <c r="R579" i="17" s="1"/>
  <c r="L579" i="17"/>
  <c r="Q579" i="17" s="1"/>
  <c r="K579" i="17"/>
  <c r="P579" i="17" s="1"/>
  <c r="J579" i="17"/>
  <c r="M578" i="17"/>
  <c r="R578" i="17" s="1"/>
  <c r="L578" i="17"/>
  <c r="Q578" i="17" s="1"/>
  <c r="K578" i="17"/>
  <c r="J578" i="17"/>
  <c r="O578" i="17" s="1"/>
  <c r="M577" i="17"/>
  <c r="R577" i="17" s="1"/>
  <c r="L577" i="17"/>
  <c r="Q577" i="17" s="1"/>
  <c r="K577" i="17"/>
  <c r="P577" i="17" s="1"/>
  <c r="J577" i="17"/>
  <c r="O577" i="17" s="1"/>
  <c r="M576" i="17"/>
  <c r="R576" i="17" s="1"/>
  <c r="L576" i="17"/>
  <c r="Q576" i="17" s="1"/>
  <c r="K576" i="17"/>
  <c r="J576" i="17"/>
  <c r="O576" i="17" s="1"/>
  <c r="M575" i="17"/>
  <c r="R575" i="17" s="1"/>
  <c r="L575" i="17"/>
  <c r="Q575" i="17" s="1"/>
  <c r="K575" i="17"/>
  <c r="P575" i="17" s="1"/>
  <c r="J575" i="17"/>
  <c r="M574" i="17"/>
  <c r="R574" i="17" s="1"/>
  <c r="L574" i="17"/>
  <c r="Q574" i="17" s="1"/>
  <c r="K574" i="17"/>
  <c r="P574" i="17" s="1"/>
  <c r="J574" i="17"/>
  <c r="O574" i="17" s="1"/>
  <c r="M573" i="17"/>
  <c r="R573" i="17" s="1"/>
  <c r="L573" i="17"/>
  <c r="Q573" i="17" s="1"/>
  <c r="K573" i="17"/>
  <c r="P573" i="17" s="1"/>
  <c r="J573" i="17"/>
  <c r="M572" i="17"/>
  <c r="R572" i="17" s="1"/>
  <c r="L572" i="17"/>
  <c r="Q572" i="17" s="1"/>
  <c r="K572" i="17"/>
  <c r="J572" i="17"/>
  <c r="O572" i="17" s="1"/>
  <c r="M571" i="17"/>
  <c r="R571" i="17" s="1"/>
  <c r="L571" i="17"/>
  <c r="Q571" i="17" s="1"/>
  <c r="K571" i="17"/>
  <c r="P571" i="17" s="1"/>
  <c r="J571" i="17"/>
  <c r="M570" i="17"/>
  <c r="R570" i="17" s="1"/>
  <c r="L570" i="17"/>
  <c r="Q570" i="17" s="1"/>
  <c r="K570" i="17"/>
  <c r="P570" i="17" s="1"/>
  <c r="J570" i="17"/>
  <c r="O570" i="17" s="1"/>
  <c r="M569" i="17"/>
  <c r="R569" i="17" s="1"/>
  <c r="L569" i="17"/>
  <c r="Q569" i="17" s="1"/>
  <c r="K569" i="17"/>
  <c r="P569" i="17" s="1"/>
  <c r="J569" i="17"/>
  <c r="O569" i="17" s="1"/>
  <c r="M568" i="17"/>
  <c r="R568" i="17" s="1"/>
  <c r="L568" i="17"/>
  <c r="Q568" i="17" s="1"/>
  <c r="K568" i="17"/>
  <c r="P568" i="17" s="1"/>
  <c r="J568" i="17"/>
  <c r="M567" i="17"/>
  <c r="R567" i="17" s="1"/>
  <c r="L567" i="17"/>
  <c r="Q567" i="17" s="1"/>
  <c r="K567" i="17"/>
  <c r="P567" i="17" s="1"/>
  <c r="J567" i="17"/>
  <c r="O567" i="17" s="1"/>
  <c r="M566" i="17"/>
  <c r="R566" i="17" s="1"/>
  <c r="L566" i="17"/>
  <c r="Q566" i="17" s="1"/>
  <c r="K566" i="17"/>
  <c r="P566" i="17" s="1"/>
  <c r="J566" i="17"/>
  <c r="M565" i="17"/>
  <c r="R565" i="17" s="1"/>
  <c r="L565" i="17"/>
  <c r="Q565" i="17" s="1"/>
  <c r="K565" i="17"/>
  <c r="J565" i="17"/>
  <c r="O565" i="17" s="1"/>
  <c r="M564" i="17"/>
  <c r="R564" i="17" s="1"/>
  <c r="L564" i="17"/>
  <c r="Q564" i="17" s="1"/>
  <c r="K564" i="17"/>
  <c r="P564" i="17" s="1"/>
  <c r="J564" i="17"/>
  <c r="M563" i="17"/>
  <c r="R563" i="17" s="1"/>
  <c r="L563" i="17"/>
  <c r="Q563" i="17" s="1"/>
  <c r="K563" i="17"/>
  <c r="J563" i="17"/>
  <c r="O563" i="17" s="1"/>
  <c r="M562" i="17"/>
  <c r="R562" i="17" s="1"/>
  <c r="L562" i="17"/>
  <c r="K562" i="17"/>
  <c r="P562" i="17" s="1"/>
  <c r="J562" i="17"/>
  <c r="O562" i="17" s="1"/>
  <c r="M561" i="17"/>
  <c r="R561" i="17" s="1"/>
  <c r="L561" i="17"/>
  <c r="Q561" i="17" s="1"/>
  <c r="K561" i="17"/>
  <c r="P561" i="17" s="1"/>
  <c r="J561" i="17"/>
  <c r="O561" i="17" s="1"/>
  <c r="M560" i="17"/>
  <c r="R560" i="17" s="1"/>
  <c r="L560" i="17"/>
  <c r="Q560" i="17" s="1"/>
  <c r="K560" i="17"/>
  <c r="P560" i="17" s="1"/>
  <c r="J560" i="17"/>
  <c r="O560" i="17" s="1"/>
  <c r="M559" i="17"/>
  <c r="L559" i="17"/>
  <c r="Q559" i="17" s="1"/>
  <c r="K559" i="17"/>
  <c r="P559" i="17" s="1"/>
  <c r="J559" i="17"/>
  <c r="O559" i="17" s="1"/>
  <c r="M558" i="17"/>
  <c r="R558" i="17" s="1"/>
  <c r="L558" i="17"/>
  <c r="Q558" i="17" s="1"/>
  <c r="K558" i="17"/>
  <c r="P558" i="17" s="1"/>
  <c r="J558" i="17"/>
  <c r="M557" i="17"/>
  <c r="R557" i="17" s="1"/>
  <c r="L557" i="17"/>
  <c r="Q557" i="17" s="1"/>
  <c r="K557" i="17"/>
  <c r="P557" i="17" s="1"/>
  <c r="J557" i="17"/>
  <c r="O557" i="17" s="1"/>
  <c r="M556" i="17"/>
  <c r="R556" i="17" s="1"/>
  <c r="L556" i="17"/>
  <c r="Q556" i="17" s="1"/>
  <c r="K556" i="17"/>
  <c r="P556" i="17" s="1"/>
  <c r="J556" i="17"/>
  <c r="O556" i="17" s="1"/>
  <c r="M555" i="17"/>
  <c r="R555" i="17" s="1"/>
  <c r="L555" i="17"/>
  <c r="Q555" i="17" s="1"/>
  <c r="K555" i="17"/>
  <c r="P555" i="17" s="1"/>
  <c r="J555" i="17"/>
  <c r="O555" i="17" s="1"/>
  <c r="M554" i="17"/>
  <c r="R554" i="17" s="1"/>
  <c r="L554" i="17"/>
  <c r="Q554" i="17" s="1"/>
  <c r="K554" i="17"/>
  <c r="P554" i="17" s="1"/>
  <c r="J554" i="17"/>
  <c r="O554" i="17" s="1"/>
  <c r="M553" i="17"/>
  <c r="R553" i="17" s="1"/>
  <c r="L553" i="17"/>
  <c r="Q553" i="17" s="1"/>
  <c r="K553" i="17"/>
  <c r="P553" i="17" s="1"/>
  <c r="J553" i="17"/>
  <c r="O553" i="17" s="1"/>
  <c r="M552" i="17"/>
  <c r="R552" i="17" s="1"/>
  <c r="L552" i="17"/>
  <c r="Q552" i="17" s="1"/>
  <c r="K552" i="17"/>
  <c r="P552" i="17" s="1"/>
  <c r="J552" i="17"/>
  <c r="M551" i="17"/>
  <c r="R551" i="17" s="1"/>
  <c r="L551" i="17"/>
  <c r="Q551" i="17" s="1"/>
  <c r="K551" i="17"/>
  <c r="P551" i="17" s="1"/>
  <c r="J551" i="17"/>
  <c r="M550" i="17"/>
  <c r="R550" i="17" s="1"/>
  <c r="L550" i="17"/>
  <c r="Q550" i="17" s="1"/>
  <c r="K550" i="17"/>
  <c r="P550" i="17" s="1"/>
  <c r="J550" i="17"/>
  <c r="O550" i="17" s="1"/>
  <c r="M549" i="17"/>
  <c r="R549" i="17" s="1"/>
  <c r="L549" i="17"/>
  <c r="Q549" i="17" s="1"/>
  <c r="K549" i="17"/>
  <c r="P549" i="17" s="1"/>
  <c r="J549" i="17"/>
  <c r="O549" i="17" s="1"/>
  <c r="M548" i="17"/>
  <c r="R548" i="17" s="1"/>
  <c r="L548" i="17"/>
  <c r="Q548" i="17" s="1"/>
  <c r="K548" i="17"/>
  <c r="P548" i="17" s="1"/>
  <c r="J548" i="17"/>
  <c r="M547" i="17"/>
  <c r="R547" i="17" s="1"/>
  <c r="L547" i="17"/>
  <c r="Q547" i="17" s="1"/>
  <c r="K547" i="17"/>
  <c r="P547" i="17" s="1"/>
  <c r="J547" i="17"/>
  <c r="O547" i="17" s="1"/>
  <c r="M546" i="17"/>
  <c r="R546" i="17" s="1"/>
  <c r="L546" i="17"/>
  <c r="Q546" i="17" s="1"/>
  <c r="K546" i="17"/>
  <c r="P546" i="17" s="1"/>
  <c r="J546" i="17"/>
  <c r="M545" i="17"/>
  <c r="R545" i="17" s="1"/>
  <c r="L545" i="17"/>
  <c r="Q545" i="17" s="1"/>
  <c r="K545" i="17"/>
  <c r="P545" i="17" s="1"/>
  <c r="J545" i="17"/>
  <c r="O545" i="17" s="1"/>
  <c r="M544" i="17"/>
  <c r="R544" i="17" s="1"/>
  <c r="L544" i="17"/>
  <c r="Q544" i="17" s="1"/>
  <c r="K544" i="17"/>
  <c r="P544" i="17" s="1"/>
  <c r="J544" i="17"/>
  <c r="O544" i="17" s="1"/>
  <c r="M543" i="17"/>
  <c r="L543" i="17"/>
  <c r="Q543" i="17" s="1"/>
  <c r="K543" i="17"/>
  <c r="P543" i="17" s="1"/>
  <c r="J543" i="17"/>
  <c r="O543" i="17" s="1"/>
  <c r="M542" i="17"/>
  <c r="R542" i="17" s="1"/>
  <c r="L542" i="17"/>
  <c r="Q542" i="17" s="1"/>
  <c r="K542" i="17"/>
  <c r="P542" i="17" s="1"/>
  <c r="J542" i="17"/>
  <c r="O542" i="17" s="1"/>
  <c r="M541" i="17"/>
  <c r="R541" i="17" s="1"/>
  <c r="L541" i="17"/>
  <c r="Q541" i="17" s="1"/>
  <c r="K541" i="17"/>
  <c r="P541" i="17" s="1"/>
  <c r="J541" i="17"/>
  <c r="O541" i="17" s="1"/>
  <c r="M540" i="17"/>
  <c r="R540" i="17" s="1"/>
  <c r="L540" i="17"/>
  <c r="Q540" i="17" s="1"/>
  <c r="K540" i="17"/>
  <c r="P540" i="17" s="1"/>
  <c r="J540" i="17"/>
  <c r="O540" i="17" s="1"/>
  <c r="M539" i="17"/>
  <c r="R539" i="17" s="1"/>
  <c r="L539" i="17"/>
  <c r="Q539" i="17" s="1"/>
  <c r="K539" i="17"/>
  <c r="P539" i="17" s="1"/>
  <c r="J539" i="17"/>
  <c r="M538" i="17"/>
  <c r="R538" i="17" s="1"/>
  <c r="L538" i="17"/>
  <c r="K538" i="17"/>
  <c r="P538" i="17" s="1"/>
  <c r="J538" i="17"/>
  <c r="O538" i="17" s="1"/>
  <c r="M537" i="17"/>
  <c r="R537" i="17" s="1"/>
  <c r="L537" i="17"/>
  <c r="Q537" i="17" s="1"/>
  <c r="K537" i="17"/>
  <c r="J537" i="17"/>
  <c r="O537" i="17" s="1"/>
  <c r="M536" i="17"/>
  <c r="R536" i="17" s="1"/>
  <c r="L536" i="17"/>
  <c r="Q536" i="17" s="1"/>
  <c r="K536" i="17"/>
  <c r="P536" i="17" s="1"/>
  <c r="J536" i="17"/>
  <c r="M535" i="17"/>
  <c r="R535" i="17" s="1"/>
  <c r="L535" i="17"/>
  <c r="Q535" i="17" s="1"/>
  <c r="K535" i="17"/>
  <c r="P535" i="17" s="1"/>
  <c r="J535" i="17"/>
  <c r="M534" i="17"/>
  <c r="R534" i="17" s="1"/>
  <c r="L534" i="17"/>
  <c r="Q534" i="17" s="1"/>
  <c r="K534" i="17"/>
  <c r="P534" i="17" s="1"/>
  <c r="J534" i="17"/>
  <c r="O534" i="17" s="1"/>
  <c r="M533" i="17"/>
  <c r="R533" i="17" s="1"/>
  <c r="L533" i="17"/>
  <c r="Q533" i="17" s="1"/>
  <c r="K533" i="17"/>
  <c r="J533" i="17"/>
  <c r="O533" i="17" s="1"/>
  <c r="M532" i="17"/>
  <c r="R532" i="17" s="1"/>
  <c r="L532" i="17"/>
  <c r="Q532" i="17" s="1"/>
  <c r="K532" i="17"/>
  <c r="P532" i="17" s="1"/>
  <c r="J532" i="17"/>
  <c r="M531" i="17"/>
  <c r="R531" i="17" s="1"/>
  <c r="L531" i="17"/>
  <c r="Q531" i="17" s="1"/>
  <c r="K531" i="17"/>
  <c r="P531" i="17" s="1"/>
  <c r="J531" i="17"/>
  <c r="O531" i="17" s="1"/>
  <c r="M530" i="17"/>
  <c r="L530" i="17"/>
  <c r="Q530" i="17" s="1"/>
  <c r="K530" i="17"/>
  <c r="P530" i="17" s="1"/>
  <c r="J530" i="17"/>
  <c r="O530" i="17" s="1"/>
  <c r="M529" i="17"/>
  <c r="R529" i="17" s="1"/>
  <c r="L529" i="17"/>
  <c r="Q529" i="17" s="1"/>
  <c r="K529" i="17"/>
  <c r="P529" i="17" s="1"/>
  <c r="J529" i="17"/>
  <c r="O529" i="17" s="1"/>
  <c r="M528" i="17"/>
  <c r="R528" i="17" s="1"/>
  <c r="L528" i="17"/>
  <c r="Q528" i="17" s="1"/>
  <c r="K528" i="17"/>
  <c r="P528" i="17" s="1"/>
  <c r="J528" i="17"/>
  <c r="M527" i="17"/>
  <c r="R527" i="17" s="1"/>
  <c r="L527" i="17"/>
  <c r="Q527" i="17" s="1"/>
  <c r="K527" i="17"/>
  <c r="P527" i="17" s="1"/>
  <c r="J527" i="17"/>
  <c r="O527" i="17" s="1"/>
  <c r="M526" i="17"/>
  <c r="R526" i="17" s="1"/>
  <c r="L526" i="17"/>
  <c r="Q526" i="17" s="1"/>
  <c r="K526" i="17"/>
  <c r="P526" i="17" s="1"/>
  <c r="J526" i="17"/>
  <c r="M525" i="17"/>
  <c r="R525" i="17" s="1"/>
  <c r="L525" i="17"/>
  <c r="Q525" i="17" s="1"/>
  <c r="K525" i="17"/>
  <c r="J525" i="17"/>
  <c r="O525" i="17" s="1"/>
  <c r="M524" i="17"/>
  <c r="R524" i="17" s="1"/>
  <c r="L524" i="17"/>
  <c r="Q524" i="17" s="1"/>
  <c r="K524" i="17"/>
  <c r="P524" i="17" s="1"/>
  <c r="J524" i="17"/>
  <c r="O524" i="17" s="1"/>
  <c r="M523" i="17"/>
  <c r="R523" i="17" s="1"/>
  <c r="L523" i="17"/>
  <c r="Q523" i="17" s="1"/>
  <c r="K523" i="17"/>
  <c r="P523" i="17" s="1"/>
  <c r="J523" i="17"/>
  <c r="O523" i="17" s="1"/>
  <c r="M522" i="17"/>
  <c r="R522" i="17" s="1"/>
  <c r="L522" i="17"/>
  <c r="Q522" i="17" s="1"/>
  <c r="K522" i="17"/>
  <c r="P522" i="17" s="1"/>
  <c r="J522" i="17"/>
  <c r="O522" i="17" s="1"/>
  <c r="M521" i="17"/>
  <c r="R521" i="17" s="1"/>
  <c r="L521" i="17"/>
  <c r="Q521" i="17" s="1"/>
  <c r="K521" i="17"/>
  <c r="P521" i="17" s="1"/>
  <c r="J521" i="17"/>
  <c r="O521" i="17" s="1"/>
  <c r="M520" i="17"/>
  <c r="R520" i="17" s="1"/>
  <c r="L520" i="17"/>
  <c r="Q520" i="17" s="1"/>
  <c r="K520" i="17"/>
  <c r="P520" i="17" s="1"/>
  <c r="J520" i="17"/>
  <c r="M519" i="17"/>
  <c r="R519" i="17" s="1"/>
  <c r="L519" i="17"/>
  <c r="Q519" i="17" s="1"/>
  <c r="K519" i="17"/>
  <c r="P519" i="17" s="1"/>
  <c r="J519" i="17"/>
  <c r="M518" i="17"/>
  <c r="R518" i="17" s="1"/>
  <c r="L518" i="17"/>
  <c r="Q518" i="17" s="1"/>
  <c r="K518" i="17"/>
  <c r="P518" i="17" s="1"/>
  <c r="J518" i="17"/>
  <c r="O518" i="17" s="1"/>
  <c r="M517" i="17"/>
  <c r="R517" i="17" s="1"/>
  <c r="L517" i="17"/>
  <c r="Q517" i="17" s="1"/>
  <c r="K517" i="17"/>
  <c r="P517" i="17" s="1"/>
  <c r="J517" i="17"/>
  <c r="O517" i="17" s="1"/>
  <c r="M516" i="17"/>
  <c r="R516" i="17" s="1"/>
  <c r="L516" i="17"/>
  <c r="Q516" i="17" s="1"/>
  <c r="K516" i="17"/>
  <c r="P516" i="17" s="1"/>
  <c r="J516" i="17"/>
  <c r="M515" i="17"/>
  <c r="R515" i="17" s="1"/>
  <c r="L515" i="17"/>
  <c r="Q515" i="17" s="1"/>
  <c r="K515" i="17"/>
  <c r="P515" i="17" s="1"/>
  <c r="J515" i="17"/>
  <c r="O515" i="17" s="1"/>
  <c r="M514" i="17"/>
  <c r="R514" i="17" s="1"/>
  <c r="L514" i="17"/>
  <c r="Q514" i="17" s="1"/>
  <c r="K514" i="17"/>
  <c r="P514" i="17" s="1"/>
  <c r="J514" i="17"/>
  <c r="M513" i="17"/>
  <c r="R513" i="17" s="1"/>
  <c r="L513" i="17"/>
  <c r="Q513" i="17" s="1"/>
  <c r="K513" i="17"/>
  <c r="P513" i="17" s="1"/>
  <c r="J513" i="17"/>
  <c r="M512" i="17"/>
  <c r="R512" i="17" s="1"/>
  <c r="L512" i="17"/>
  <c r="Q512" i="17" s="1"/>
  <c r="K512" i="17"/>
  <c r="P512" i="17" s="1"/>
  <c r="J512" i="17"/>
  <c r="O512" i="17" s="1"/>
  <c r="M511" i="17"/>
  <c r="L511" i="17"/>
  <c r="Q511" i="17" s="1"/>
  <c r="K511" i="17"/>
  <c r="P511" i="17" s="1"/>
  <c r="J511" i="17"/>
  <c r="O511" i="17" s="1"/>
  <c r="M510" i="17"/>
  <c r="R510" i="17" s="1"/>
  <c r="L510" i="17"/>
  <c r="Q510" i="17" s="1"/>
  <c r="K510" i="17"/>
  <c r="P510" i="17" s="1"/>
  <c r="J510" i="17"/>
  <c r="O510" i="17" s="1"/>
  <c r="M509" i="17"/>
  <c r="R509" i="17" s="1"/>
  <c r="L509" i="17"/>
  <c r="Q509" i="17" s="1"/>
  <c r="K509" i="17"/>
  <c r="P509" i="17" s="1"/>
  <c r="J509" i="17"/>
  <c r="O509" i="17" s="1"/>
  <c r="M508" i="17"/>
  <c r="R508" i="17" s="1"/>
  <c r="L508" i="17"/>
  <c r="Q508" i="17" s="1"/>
  <c r="K508" i="17"/>
  <c r="P508" i="17" s="1"/>
  <c r="J508" i="17"/>
  <c r="O508" i="17" s="1"/>
  <c r="M507" i="17"/>
  <c r="R507" i="17" s="1"/>
  <c r="L507" i="17"/>
  <c r="Q507" i="17" s="1"/>
  <c r="K507" i="17"/>
  <c r="P507" i="17" s="1"/>
  <c r="J507" i="17"/>
  <c r="M506" i="17"/>
  <c r="R506" i="17" s="1"/>
  <c r="L506" i="17"/>
  <c r="K506" i="17"/>
  <c r="P506" i="17" s="1"/>
  <c r="J506" i="17"/>
  <c r="O506" i="17" s="1"/>
  <c r="M505" i="17"/>
  <c r="R505" i="17" s="1"/>
  <c r="L505" i="17"/>
  <c r="Q505" i="17" s="1"/>
  <c r="K505" i="17"/>
  <c r="P505" i="17" s="1"/>
  <c r="J505" i="17"/>
  <c r="M504" i="17"/>
  <c r="R504" i="17" s="1"/>
  <c r="L504" i="17"/>
  <c r="Q504" i="17" s="1"/>
  <c r="K504" i="17"/>
  <c r="P504" i="17" s="1"/>
  <c r="J504" i="17"/>
  <c r="M503" i="17"/>
  <c r="R503" i="17" s="1"/>
  <c r="L503" i="17"/>
  <c r="Q503" i="17" s="1"/>
  <c r="K503" i="17"/>
  <c r="P503" i="17" s="1"/>
  <c r="J503" i="17"/>
  <c r="M502" i="17"/>
  <c r="R502" i="17" s="1"/>
  <c r="L502" i="17"/>
  <c r="Q502" i="17" s="1"/>
  <c r="K502" i="17"/>
  <c r="P502" i="17" s="1"/>
  <c r="J502" i="17"/>
  <c r="O502" i="17" s="1"/>
  <c r="M501" i="17"/>
  <c r="R501" i="17" s="1"/>
  <c r="L501" i="17"/>
  <c r="Q501" i="17" s="1"/>
  <c r="K501" i="17"/>
  <c r="J501" i="17"/>
  <c r="O501" i="17" s="1"/>
  <c r="M500" i="17"/>
  <c r="R500" i="17" s="1"/>
  <c r="L500" i="17"/>
  <c r="Q500" i="17" s="1"/>
  <c r="K500" i="17"/>
  <c r="P500" i="17" s="1"/>
  <c r="J500" i="17"/>
  <c r="O500" i="17" s="1"/>
  <c r="M499" i="17"/>
  <c r="R499" i="17" s="1"/>
  <c r="L499" i="17"/>
  <c r="Q499" i="17" s="1"/>
  <c r="K499" i="17"/>
  <c r="P499" i="17" s="1"/>
  <c r="J499" i="17"/>
  <c r="O499" i="17" s="1"/>
  <c r="M498" i="17"/>
  <c r="L498" i="17"/>
  <c r="Q498" i="17" s="1"/>
  <c r="K498" i="17"/>
  <c r="P498" i="17" s="1"/>
  <c r="J498" i="17"/>
  <c r="O498" i="17" s="1"/>
  <c r="M497" i="17"/>
  <c r="R497" i="17" s="1"/>
  <c r="L497" i="17"/>
  <c r="Q497" i="17" s="1"/>
  <c r="K497" i="17"/>
  <c r="J497" i="17"/>
  <c r="O497" i="17" s="1"/>
  <c r="M496" i="17"/>
  <c r="R496" i="17" s="1"/>
  <c r="L496" i="17"/>
  <c r="Q496" i="17" s="1"/>
  <c r="K496" i="17"/>
  <c r="P496" i="17" s="1"/>
  <c r="J496" i="17"/>
  <c r="M495" i="17"/>
  <c r="R495" i="17" s="1"/>
  <c r="L495" i="17"/>
  <c r="Q495" i="17" s="1"/>
  <c r="K495" i="17"/>
  <c r="P495" i="17" s="1"/>
  <c r="J495" i="17"/>
  <c r="O495" i="17" s="1"/>
  <c r="M494" i="17"/>
  <c r="R494" i="17" s="1"/>
  <c r="L494" i="17"/>
  <c r="Q494" i="17" s="1"/>
  <c r="K494" i="17"/>
  <c r="P494" i="17" s="1"/>
  <c r="J494" i="17"/>
  <c r="O494" i="17" s="1"/>
  <c r="M493" i="17"/>
  <c r="L493" i="17"/>
  <c r="Q493" i="17" s="1"/>
  <c r="K493" i="17"/>
  <c r="P493" i="17" s="1"/>
  <c r="J493" i="17"/>
  <c r="O493" i="17" s="1"/>
  <c r="M492" i="17"/>
  <c r="R492" i="17" s="1"/>
  <c r="L492" i="17"/>
  <c r="Q492" i="17" s="1"/>
  <c r="K492" i="17"/>
  <c r="P492" i="17" s="1"/>
  <c r="J492" i="17"/>
  <c r="O492" i="17" s="1"/>
  <c r="M491" i="17"/>
  <c r="R491" i="17" s="1"/>
  <c r="L491" i="17"/>
  <c r="Q491" i="17" s="1"/>
  <c r="K491" i="17"/>
  <c r="P491" i="17" s="1"/>
  <c r="J491" i="17"/>
  <c r="M490" i="17"/>
  <c r="R490" i="17" s="1"/>
  <c r="L490" i="17"/>
  <c r="K490" i="17"/>
  <c r="P490" i="17" s="1"/>
  <c r="J490" i="17"/>
  <c r="O490" i="17" s="1"/>
  <c r="M489" i="17"/>
  <c r="R489" i="17" s="1"/>
  <c r="L489" i="17"/>
  <c r="Q489" i="17" s="1"/>
  <c r="K489" i="17"/>
  <c r="P489" i="17" s="1"/>
  <c r="J489" i="17"/>
  <c r="M488" i="17"/>
  <c r="R488" i="17" s="1"/>
  <c r="L488" i="17"/>
  <c r="Q488" i="17" s="1"/>
  <c r="K488" i="17"/>
  <c r="P488" i="17" s="1"/>
  <c r="J488" i="17"/>
  <c r="M487" i="17"/>
  <c r="R487" i="17" s="1"/>
  <c r="L487" i="17"/>
  <c r="Q487" i="17" s="1"/>
  <c r="K487" i="17"/>
  <c r="P487" i="17" s="1"/>
  <c r="J487" i="17"/>
  <c r="M486" i="17"/>
  <c r="R486" i="17" s="1"/>
  <c r="L486" i="17"/>
  <c r="Q486" i="17" s="1"/>
  <c r="K486" i="17"/>
  <c r="J486" i="17"/>
  <c r="O486" i="17" s="1"/>
  <c r="M485" i="17"/>
  <c r="R485" i="17" s="1"/>
  <c r="L485" i="17"/>
  <c r="Q485" i="17" s="1"/>
  <c r="K485" i="17"/>
  <c r="P485" i="17" s="1"/>
  <c r="J485" i="17"/>
  <c r="M484" i="17"/>
  <c r="R484" i="17" s="1"/>
  <c r="L484" i="17"/>
  <c r="Q484" i="17" s="1"/>
  <c r="K484" i="17"/>
  <c r="P484" i="17" s="1"/>
  <c r="J484" i="17"/>
  <c r="M483" i="17"/>
  <c r="R483" i="17" s="1"/>
  <c r="L483" i="17"/>
  <c r="Q483" i="17" s="1"/>
  <c r="K483" i="17"/>
  <c r="P483" i="17" s="1"/>
  <c r="J483" i="17"/>
  <c r="O483" i="17" s="1"/>
  <c r="M482" i="17"/>
  <c r="L482" i="17"/>
  <c r="Q482" i="17" s="1"/>
  <c r="K482" i="17"/>
  <c r="P482" i="17" s="1"/>
  <c r="J482" i="17"/>
  <c r="O482" i="17" s="1"/>
  <c r="M481" i="17"/>
  <c r="R481" i="17" s="1"/>
  <c r="L481" i="17"/>
  <c r="Q481" i="17" s="1"/>
  <c r="K481" i="17"/>
  <c r="P481" i="17" s="1"/>
  <c r="J481" i="17"/>
  <c r="O481" i="17" s="1"/>
  <c r="M480" i="17"/>
  <c r="R480" i="17" s="1"/>
  <c r="L480" i="17"/>
  <c r="Q480" i="17" s="1"/>
  <c r="K480" i="17"/>
  <c r="P480" i="17" s="1"/>
  <c r="J480" i="17"/>
  <c r="M479" i="17"/>
  <c r="R479" i="17" s="1"/>
  <c r="L479" i="17"/>
  <c r="Q479" i="17" s="1"/>
  <c r="K479" i="17"/>
  <c r="P479" i="17" s="1"/>
  <c r="J479" i="17"/>
  <c r="M478" i="17"/>
  <c r="L478" i="17"/>
  <c r="Q478" i="17" s="1"/>
  <c r="K478" i="17"/>
  <c r="P478" i="17" s="1"/>
  <c r="J478" i="17"/>
  <c r="O478" i="17" s="1"/>
  <c r="M477" i="17"/>
  <c r="R477" i="17" s="1"/>
  <c r="L477" i="17"/>
  <c r="Q477" i="17" s="1"/>
  <c r="K477" i="17"/>
  <c r="P477" i="17" s="1"/>
  <c r="J477" i="17"/>
  <c r="M476" i="17"/>
  <c r="R476" i="17" s="1"/>
  <c r="L476" i="17"/>
  <c r="Q476" i="17" s="1"/>
  <c r="K476" i="17"/>
  <c r="P476" i="17" s="1"/>
  <c r="J476" i="17"/>
  <c r="M475" i="17"/>
  <c r="R475" i="17" s="1"/>
  <c r="L475" i="17"/>
  <c r="Q475" i="17" s="1"/>
  <c r="K475" i="17"/>
  <c r="P475" i="17" s="1"/>
  <c r="J475" i="17"/>
  <c r="O475" i="17" s="1"/>
  <c r="M474" i="17"/>
  <c r="R474" i="17" s="1"/>
  <c r="L474" i="17"/>
  <c r="Q474" i="17" s="1"/>
  <c r="K474" i="17"/>
  <c r="P474" i="17" s="1"/>
  <c r="J474" i="17"/>
  <c r="M473" i="17"/>
  <c r="R473" i="17" s="1"/>
  <c r="L473" i="17"/>
  <c r="Q473" i="17" s="1"/>
  <c r="K473" i="17"/>
  <c r="P473" i="17" s="1"/>
  <c r="J473" i="17"/>
  <c r="O473" i="17" s="1"/>
  <c r="M472" i="17"/>
  <c r="R472" i="17" s="1"/>
  <c r="L472" i="17"/>
  <c r="Q472" i="17" s="1"/>
  <c r="K472" i="17"/>
  <c r="P472" i="17" s="1"/>
  <c r="J472" i="17"/>
  <c r="M471" i="17"/>
  <c r="R471" i="17" s="1"/>
  <c r="L471" i="17"/>
  <c r="Q471" i="17" s="1"/>
  <c r="K471" i="17"/>
  <c r="J471" i="17"/>
  <c r="O471" i="17" s="1"/>
  <c r="M470" i="17"/>
  <c r="R470" i="17" s="1"/>
  <c r="L470" i="17"/>
  <c r="Q470" i="17" s="1"/>
  <c r="K470" i="17"/>
  <c r="P470" i="17" s="1"/>
  <c r="J470" i="17"/>
  <c r="O470" i="17" s="1"/>
  <c r="M469" i="17"/>
  <c r="R469" i="17" s="1"/>
  <c r="L469" i="17"/>
  <c r="Q469" i="17" s="1"/>
  <c r="K469" i="17"/>
  <c r="P469" i="17" s="1"/>
  <c r="J469" i="17"/>
  <c r="O469" i="17" s="1"/>
  <c r="M468" i="17"/>
  <c r="R468" i="17" s="1"/>
  <c r="L468" i="17"/>
  <c r="Q468" i="17" s="1"/>
  <c r="K468" i="17"/>
  <c r="P468" i="17" s="1"/>
  <c r="J468" i="17"/>
  <c r="M467" i="17"/>
  <c r="L467" i="17"/>
  <c r="Q467" i="17" s="1"/>
  <c r="K467" i="17"/>
  <c r="P467" i="17" s="1"/>
  <c r="J467" i="17"/>
  <c r="O467" i="17" s="1"/>
  <c r="M466" i="17"/>
  <c r="R466" i="17" s="1"/>
  <c r="L466" i="17"/>
  <c r="Q466" i="17" s="1"/>
  <c r="K466" i="17"/>
  <c r="P466" i="17" s="1"/>
  <c r="J466" i="17"/>
  <c r="M465" i="17"/>
  <c r="R465" i="17" s="1"/>
  <c r="L465" i="17"/>
  <c r="Q465" i="17" s="1"/>
  <c r="K465" i="17"/>
  <c r="P465" i="17" s="1"/>
  <c r="J465" i="17"/>
  <c r="O465" i="17" s="1"/>
  <c r="M464" i="17"/>
  <c r="R464" i="17" s="1"/>
  <c r="L464" i="17"/>
  <c r="Q464" i="17" s="1"/>
  <c r="K464" i="17"/>
  <c r="P464" i="17" s="1"/>
  <c r="J464" i="17"/>
  <c r="O464" i="17" s="1"/>
  <c r="M463" i="17"/>
  <c r="L463" i="17"/>
  <c r="Q463" i="17" s="1"/>
  <c r="K463" i="17"/>
  <c r="P463" i="17" s="1"/>
  <c r="J463" i="17"/>
  <c r="O463" i="17" s="1"/>
  <c r="M462" i="17"/>
  <c r="R462" i="17" s="1"/>
  <c r="L462" i="17"/>
  <c r="Q462" i="17" s="1"/>
  <c r="K462" i="17"/>
  <c r="P462" i="17" s="1"/>
  <c r="J462" i="17"/>
  <c r="O462" i="17" s="1"/>
  <c r="M461" i="17"/>
  <c r="R461" i="17" s="1"/>
  <c r="L461" i="17"/>
  <c r="Q461" i="17" s="1"/>
  <c r="K461" i="17"/>
  <c r="P461" i="17" s="1"/>
  <c r="J461" i="17"/>
  <c r="M460" i="17"/>
  <c r="R460" i="17" s="1"/>
  <c r="L460" i="17"/>
  <c r="Q460" i="17" s="1"/>
  <c r="K460" i="17"/>
  <c r="P460" i="17" s="1"/>
  <c r="J460" i="17"/>
  <c r="O460" i="17" s="1"/>
  <c r="M459" i="17"/>
  <c r="R459" i="17" s="1"/>
  <c r="L459" i="17"/>
  <c r="Q459" i="17" s="1"/>
  <c r="K459" i="17"/>
  <c r="P459" i="17" s="1"/>
  <c r="J459" i="17"/>
  <c r="M458" i="17"/>
  <c r="R458" i="17" s="1"/>
  <c r="L458" i="17"/>
  <c r="Q458" i="17" s="1"/>
  <c r="K458" i="17"/>
  <c r="P458" i="17" s="1"/>
  <c r="J458" i="17"/>
  <c r="O458" i="17" s="1"/>
  <c r="M457" i="17"/>
  <c r="R457" i="17" s="1"/>
  <c r="L457" i="17"/>
  <c r="Q457" i="17" s="1"/>
  <c r="K457" i="17"/>
  <c r="P457" i="17" s="1"/>
  <c r="J457" i="17"/>
  <c r="M456" i="17"/>
  <c r="R456" i="17" s="1"/>
  <c r="L456" i="17"/>
  <c r="Q456" i="17" s="1"/>
  <c r="K456" i="17"/>
  <c r="P456" i="17" s="1"/>
  <c r="J456" i="17"/>
  <c r="O456" i="17" s="1"/>
  <c r="M455" i="17"/>
  <c r="R455" i="17" s="1"/>
  <c r="L455" i="17"/>
  <c r="Q455" i="17" s="1"/>
  <c r="K455" i="17"/>
  <c r="P455" i="17" s="1"/>
  <c r="J455" i="17"/>
  <c r="M454" i="17"/>
  <c r="R454" i="17" s="1"/>
  <c r="L454" i="17"/>
  <c r="Q454" i="17" s="1"/>
  <c r="K454" i="17"/>
  <c r="P454" i="17" s="1"/>
  <c r="J454" i="17"/>
  <c r="O454" i="17" s="1"/>
  <c r="M453" i="17"/>
  <c r="R453" i="17" s="1"/>
  <c r="L453" i="17"/>
  <c r="Q453" i="17" s="1"/>
  <c r="K453" i="17"/>
  <c r="J453" i="17"/>
  <c r="O453" i="17" s="1"/>
  <c r="M452" i="17"/>
  <c r="R452" i="17" s="1"/>
  <c r="L452" i="17"/>
  <c r="Q452" i="17" s="1"/>
  <c r="K452" i="17"/>
  <c r="P452" i="17" s="1"/>
  <c r="J452" i="17"/>
  <c r="O452" i="17" s="1"/>
  <c r="M451" i="17"/>
  <c r="R451" i="17" s="1"/>
  <c r="L451" i="17"/>
  <c r="Q451" i="17" s="1"/>
  <c r="K451" i="17"/>
  <c r="P451" i="17" s="1"/>
  <c r="J451" i="17"/>
  <c r="O451" i="17" s="1"/>
  <c r="M450" i="17"/>
  <c r="R450" i="17" s="1"/>
  <c r="L450" i="17"/>
  <c r="Q450" i="17" s="1"/>
  <c r="K450" i="17"/>
  <c r="P450" i="17" s="1"/>
  <c r="J450" i="17"/>
  <c r="O450" i="17" s="1"/>
  <c r="M449" i="17"/>
  <c r="R449" i="17" s="1"/>
  <c r="L449" i="17"/>
  <c r="Q449" i="17" s="1"/>
  <c r="K449" i="17"/>
  <c r="P449" i="17" s="1"/>
  <c r="J449" i="17"/>
  <c r="M448" i="17"/>
  <c r="L448" i="17"/>
  <c r="Q448" i="17" s="1"/>
  <c r="K448" i="17"/>
  <c r="P448" i="17" s="1"/>
  <c r="J448" i="17"/>
  <c r="O448" i="17" s="1"/>
  <c r="M447" i="17"/>
  <c r="R447" i="17" s="1"/>
  <c r="L447" i="17"/>
  <c r="Q447" i="17" s="1"/>
  <c r="K447" i="17"/>
  <c r="P447" i="17" s="1"/>
  <c r="J447" i="17"/>
  <c r="O447" i="17" s="1"/>
  <c r="M446" i="17"/>
  <c r="R446" i="17" s="1"/>
  <c r="L446" i="17"/>
  <c r="Q446" i="17" s="1"/>
  <c r="K446" i="17"/>
  <c r="P446" i="17" s="1"/>
  <c r="J446" i="17"/>
  <c r="O446" i="17" s="1"/>
  <c r="M445" i="17"/>
  <c r="R445" i="17" s="1"/>
  <c r="L445" i="17"/>
  <c r="Q445" i="17" s="1"/>
  <c r="K445" i="17"/>
  <c r="P445" i="17" s="1"/>
  <c r="J445" i="17"/>
  <c r="M444" i="17"/>
  <c r="R444" i="17" s="1"/>
  <c r="L444" i="17"/>
  <c r="Q444" i="17" s="1"/>
  <c r="K444" i="17"/>
  <c r="P444" i="17" s="1"/>
  <c r="J444" i="17"/>
  <c r="O444" i="17" s="1"/>
  <c r="M443" i="17"/>
  <c r="R443" i="17" s="1"/>
  <c r="L443" i="17"/>
  <c r="Q443" i="17" s="1"/>
  <c r="K443" i="17"/>
  <c r="P443" i="17" s="1"/>
  <c r="J443" i="17"/>
  <c r="O443" i="17" s="1"/>
  <c r="M442" i="17"/>
  <c r="R442" i="17" s="1"/>
  <c r="L442" i="17"/>
  <c r="Q442" i="17" s="1"/>
  <c r="K442" i="17"/>
  <c r="P442" i="17" s="1"/>
  <c r="J442" i="17"/>
  <c r="O442" i="17" s="1"/>
  <c r="M441" i="17"/>
  <c r="R441" i="17" s="1"/>
  <c r="L441" i="17"/>
  <c r="Q441" i="17" s="1"/>
  <c r="K441" i="17"/>
  <c r="P441" i="17" s="1"/>
  <c r="J441" i="17"/>
  <c r="M440" i="17"/>
  <c r="R440" i="17" s="1"/>
  <c r="L440" i="17"/>
  <c r="Q440" i="17" s="1"/>
  <c r="K440" i="17"/>
  <c r="P440" i="17" s="1"/>
  <c r="J440" i="17"/>
  <c r="M439" i="17"/>
  <c r="R439" i="17" s="1"/>
  <c r="L439" i="17"/>
  <c r="Q439" i="17" s="1"/>
  <c r="K439" i="17"/>
  <c r="P439" i="17" s="1"/>
  <c r="J439" i="17"/>
  <c r="O439" i="17" s="1"/>
  <c r="M438" i="17"/>
  <c r="R438" i="17" s="1"/>
  <c r="L438" i="17"/>
  <c r="Q438" i="17" s="1"/>
  <c r="K438" i="17"/>
  <c r="P438" i="17" s="1"/>
  <c r="J438" i="17"/>
  <c r="O438" i="17" s="1"/>
  <c r="M437" i="17"/>
  <c r="R437" i="17" s="1"/>
  <c r="L437" i="17"/>
  <c r="Q437" i="17" s="1"/>
  <c r="K437" i="17"/>
  <c r="P437" i="17" s="1"/>
  <c r="J437" i="17"/>
  <c r="M436" i="17"/>
  <c r="R436" i="17" s="1"/>
  <c r="L436" i="17"/>
  <c r="Q436" i="17" s="1"/>
  <c r="K436" i="17"/>
  <c r="P436" i="17" s="1"/>
  <c r="J436" i="17"/>
  <c r="O436" i="17" s="1"/>
  <c r="M435" i="17"/>
  <c r="R435" i="17" s="1"/>
  <c r="L435" i="17"/>
  <c r="Q435" i="17" s="1"/>
  <c r="K435" i="17"/>
  <c r="P435" i="17" s="1"/>
  <c r="J435" i="17"/>
  <c r="O435" i="17" s="1"/>
  <c r="M434" i="17"/>
  <c r="R434" i="17" s="1"/>
  <c r="L434" i="17"/>
  <c r="Q434" i="17" s="1"/>
  <c r="K434" i="17"/>
  <c r="P434" i="17" s="1"/>
  <c r="J434" i="17"/>
  <c r="M433" i="17"/>
  <c r="R433" i="17" s="1"/>
  <c r="L433" i="17"/>
  <c r="Q433" i="17" s="1"/>
  <c r="K433" i="17"/>
  <c r="P433" i="17" s="1"/>
  <c r="J433" i="17"/>
  <c r="M432" i="17"/>
  <c r="R432" i="17" s="1"/>
  <c r="L432" i="17"/>
  <c r="Q432" i="17" s="1"/>
  <c r="K432" i="17"/>
  <c r="P432" i="17" s="1"/>
  <c r="J432" i="17"/>
  <c r="M431" i="17"/>
  <c r="R431" i="17" s="1"/>
  <c r="L431" i="17"/>
  <c r="Q431" i="17" s="1"/>
  <c r="K431" i="17"/>
  <c r="P431" i="17" s="1"/>
  <c r="J431" i="17"/>
  <c r="O431" i="17" s="1"/>
  <c r="M430" i="17"/>
  <c r="R430" i="17" s="1"/>
  <c r="L430" i="17"/>
  <c r="Q430" i="17" s="1"/>
  <c r="K430" i="17"/>
  <c r="P430" i="17" s="1"/>
  <c r="J430" i="17"/>
  <c r="O430" i="17" s="1"/>
  <c r="M429" i="17"/>
  <c r="R429" i="17" s="1"/>
  <c r="L429" i="17"/>
  <c r="Q429" i="17" s="1"/>
  <c r="K429" i="17"/>
  <c r="P429" i="17" s="1"/>
  <c r="J429" i="17"/>
  <c r="M428" i="17"/>
  <c r="R428" i="17" s="1"/>
  <c r="L428" i="17"/>
  <c r="Q428" i="17" s="1"/>
  <c r="K428" i="17"/>
  <c r="P428" i="17" s="1"/>
  <c r="J428" i="17"/>
  <c r="O428" i="17" s="1"/>
  <c r="M427" i="17"/>
  <c r="R427" i="17" s="1"/>
  <c r="L427" i="17"/>
  <c r="Q427" i="17" s="1"/>
  <c r="K427" i="17"/>
  <c r="P427" i="17" s="1"/>
  <c r="J427" i="17"/>
  <c r="O427" i="17" s="1"/>
  <c r="M426" i="17"/>
  <c r="R426" i="17" s="1"/>
  <c r="L426" i="17"/>
  <c r="Q426" i="17" s="1"/>
  <c r="K426" i="17"/>
  <c r="P426" i="17" s="1"/>
  <c r="J426" i="17"/>
  <c r="O426" i="17" s="1"/>
  <c r="M425" i="17"/>
  <c r="R425" i="17" s="1"/>
  <c r="L425" i="17"/>
  <c r="Q425" i="17" s="1"/>
  <c r="K425" i="17"/>
  <c r="P425" i="17" s="1"/>
  <c r="J425" i="17"/>
  <c r="M424" i="17"/>
  <c r="R424" i="17" s="1"/>
  <c r="L424" i="17"/>
  <c r="Q424" i="17" s="1"/>
  <c r="K424" i="17"/>
  <c r="P424" i="17" s="1"/>
  <c r="J424" i="17"/>
  <c r="M423" i="17"/>
  <c r="R423" i="17" s="1"/>
  <c r="L423" i="17"/>
  <c r="Q423" i="17" s="1"/>
  <c r="K423" i="17"/>
  <c r="P423" i="17" s="1"/>
  <c r="J423" i="17"/>
  <c r="O423" i="17" s="1"/>
  <c r="M422" i="17"/>
  <c r="R422" i="17" s="1"/>
  <c r="L422" i="17"/>
  <c r="Q422" i="17" s="1"/>
  <c r="K422" i="17"/>
  <c r="P422" i="17" s="1"/>
  <c r="J422" i="17"/>
  <c r="O422" i="17" s="1"/>
  <c r="M421" i="17"/>
  <c r="R421" i="17" s="1"/>
  <c r="L421" i="17"/>
  <c r="Q421" i="17" s="1"/>
  <c r="K421" i="17"/>
  <c r="P421" i="17" s="1"/>
  <c r="J421" i="17"/>
  <c r="M420" i="17"/>
  <c r="R420" i="17" s="1"/>
  <c r="L420" i="17"/>
  <c r="Q420" i="17" s="1"/>
  <c r="K420" i="17"/>
  <c r="P420" i="17" s="1"/>
  <c r="J420" i="17"/>
  <c r="O420" i="17" s="1"/>
  <c r="M419" i="17"/>
  <c r="R419" i="17" s="1"/>
  <c r="L419" i="17"/>
  <c r="Q419" i="17" s="1"/>
  <c r="K419" i="17"/>
  <c r="P419" i="17" s="1"/>
  <c r="J419" i="17"/>
  <c r="O419" i="17" s="1"/>
  <c r="M418" i="17"/>
  <c r="R418" i="17" s="1"/>
  <c r="L418" i="17"/>
  <c r="Q418" i="17" s="1"/>
  <c r="K418" i="17"/>
  <c r="P418" i="17" s="1"/>
  <c r="J418" i="17"/>
  <c r="M417" i="17"/>
  <c r="R417" i="17" s="1"/>
  <c r="L417" i="17"/>
  <c r="Q417" i="17" s="1"/>
  <c r="K417" i="17"/>
  <c r="P417" i="17" s="1"/>
  <c r="J417" i="17"/>
  <c r="M416" i="17"/>
  <c r="R416" i="17" s="1"/>
  <c r="L416" i="17"/>
  <c r="Q416" i="17" s="1"/>
  <c r="K416" i="17"/>
  <c r="P416" i="17" s="1"/>
  <c r="J416" i="17"/>
  <c r="M415" i="17"/>
  <c r="R415" i="17" s="1"/>
  <c r="L415" i="17"/>
  <c r="Q415" i="17" s="1"/>
  <c r="K415" i="17"/>
  <c r="P415" i="17" s="1"/>
  <c r="J415" i="17"/>
  <c r="O415" i="17" s="1"/>
  <c r="M414" i="17"/>
  <c r="R414" i="17" s="1"/>
  <c r="L414" i="17"/>
  <c r="Q414" i="17" s="1"/>
  <c r="K414" i="17"/>
  <c r="P414" i="17" s="1"/>
  <c r="J414" i="17"/>
  <c r="O414" i="17" s="1"/>
  <c r="M413" i="17"/>
  <c r="R413" i="17" s="1"/>
  <c r="L413" i="17"/>
  <c r="Q413" i="17" s="1"/>
  <c r="K413" i="17"/>
  <c r="P413" i="17" s="1"/>
  <c r="J413" i="17"/>
  <c r="M412" i="17"/>
  <c r="R412" i="17" s="1"/>
  <c r="L412" i="17"/>
  <c r="Q412" i="17" s="1"/>
  <c r="K412" i="17"/>
  <c r="P412" i="17" s="1"/>
  <c r="J412" i="17"/>
  <c r="O412" i="17" s="1"/>
  <c r="M411" i="17"/>
  <c r="R411" i="17" s="1"/>
  <c r="L411" i="17"/>
  <c r="Q411" i="17" s="1"/>
  <c r="K411" i="17"/>
  <c r="P411" i="17" s="1"/>
  <c r="J411" i="17"/>
  <c r="M410" i="17"/>
  <c r="R410" i="17" s="1"/>
  <c r="L410" i="17"/>
  <c r="Q410" i="17" s="1"/>
  <c r="K410" i="17"/>
  <c r="P410" i="17" s="1"/>
  <c r="J410" i="17"/>
  <c r="O410" i="17" s="1"/>
  <c r="M409" i="17"/>
  <c r="R409" i="17" s="1"/>
  <c r="L409" i="17"/>
  <c r="Q409" i="17" s="1"/>
  <c r="K409" i="17"/>
  <c r="P409" i="17" s="1"/>
  <c r="J409" i="17"/>
  <c r="M408" i="17"/>
  <c r="R408" i="17" s="1"/>
  <c r="L408" i="17"/>
  <c r="Q408" i="17" s="1"/>
  <c r="K408" i="17"/>
  <c r="P408" i="17" s="1"/>
  <c r="J408" i="17"/>
  <c r="O408" i="17" s="1"/>
  <c r="M407" i="17"/>
  <c r="R407" i="17" s="1"/>
  <c r="L407" i="17"/>
  <c r="Q407" i="17" s="1"/>
  <c r="K407" i="17"/>
  <c r="P407" i="17" s="1"/>
  <c r="J407" i="17"/>
  <c r="O407" i="17" s="1"/>
  <c r="M406" i="17"/>
  <c r="R406" i="17" s="1"/>
  <c r="L406" i="17"/>
  <c r="Q406" i="17" s="1"/>
  <c r="K406" i="17"/>
  <c r="P406" i="17" s="1"/>
  <c r="J406" i="17"/>
  <c r="O406" i="17" s="1"/>
  <c r="M405" i="17"/>
  <c r="R405" i="17" s="1"/>
  <c r="L405" i="17"/>
  <c r="Q405" i="17" s="1"/>
  <c r="K405" i="17"/>
  <c r="P405" i="17" s="1"/>
  <c r="J405" i="17"/>
  <c r="M404" i="17"/>
  <c r="R404" i="17" s="1"/>
  <c r="L404" i="17"/>
  <c r="Q404" i="17" s="1"/>
  <c r="K404" i="17"/>
  <c r="P404" i="17" s="1"/>
  <c r="J404" i="17"/>
  <c r="M403" i="17"/>
  <c r="R403" i="17" s="1"/>
  <c r="L403" i="17"/>
  <c r="Q403" i="17" s="1"/>
  <c r="K403" i="17"/>
  <c r="P403" i="17" s="1"/>
  <c r="J403" i="17"/>
  <c r="M402" i="17"/>
  <c r="R402" i="17" s="1"/>
  <c r="L402" i="17"/>
  <c r="Q402" i="17" s="1"/>
  <c r="K402" i="17"/>
  <c r="P402" i="17" s="1"/>
  <c r="J402" i="17"/>
  <c r="O402" i="17" s="1"/>
  <c r="M401" i="17"/>
  <c r="R401" i="17" s="1"/>
  <c r="L401" i="17"/>
  <c r="Q401" i="17" s="1"/>
  <c r="K401" i="17"/>
  <c r="P401" i="17" s="1"/>
  <c r="J401" i="17"/>
  <c r="M400" i="17"/>
  <c r="R400" i="17" s="1"/>
  <c r="L400" i="17"/>
  <c r="Q400" i="17" s="1"/>
  <c r="K400" i="17"/>
  <c r="J400" i="17"/>
  <c r="O400" i="17" s="1"/>
  <c r="M399" i="17"/>
  <c r="R399" i="17" s="1"/>
  <c r="L399" i="17"/>
  <c r="K399" i="17"/>
  <c r="P399" i="17" s="1"/>
  <c r="J399" i="17"/>
  <c r="O399" i="17" s="1"/>
  <c r="M398" i="17"/>
  <c r="R398" i="17" s="1"/>
  <c r="L398" i="17"/>
  <c r="K398" i="17"/>
  <c r="P398" i="17" s="1"/>
  <c r="J398" i="17"/>
  <c r="O398" i="17" s="1"/>
  <c r="M397" i="17"/>
  <c r="R397" i="17" s="1"/>
  <c r="L397" i="17"/>
  <c r="Q397" i="17" s="1"/>
  <c r="K397" i="17"/>
  <c r="P397" i="17" s="1"/>
  <c r="J397" i="17"/>
  <c r="M396" i="17"/>
  <c r="R396" i="17" s="1"/>
  <c r="L396" i="17"/>
  <c r="Q396" i="17" s="1"/>
  <c r="K396" i="17"/>
  <c r="P396" i="17" s="1"/>
  <c r="J396" i="17"/>
  <c r="M395" i="17"/>
  <c r="R395" i="17" s="1"/>
  <c r="L395" i="17"/>
  <c r="Q395" i="17" s="1"/>
  <c r="K395" i="17"/>
  <c r="P395" i="17" s="1"/>
  <c r="J395" i="17"/>
  <c r="M394" i="17"/>
  <c r="L394" i="17"/>
  <c r="Q394" i="17" s="1"/>
  <c r="K394" i="17"/>
  <c r="P394" i="17" s="1"/>
  <c r="J394" i="17"/>
  <c r="O394" i="17" s="1"/>
  <c r="M393" i="17"/>
  <c r="R393" i="17" s="1"/>
  <c r="L393" i="17"/>
  <c r="Q393" i="17" s="1"/>
  <c r="K393" i="17"/>
  <c r="P393" i="17" s="1"/>
  <c r="J393" i="17"/>
  <c r="M392" i="17"/>
  <c r="R392" i="17" s="1"/>
  <c r="L392" i="17"/>
  <c r="Q392" i="17" s="1"/>
  <c r="K392" i="17"/>
  <c r="P392" i="17" s="1"/>
  <c r="J392" i="17"/>
  <c r="M391" i="17"/>
  <c r="R391" i="17" s="1"/>
  <c r="L391" i="17"/>
  <c r="Q391" i="17" s="1"/>
  <c r="K391" i="17"/>
  <c r="P391" i="17" s="1"/>
  <c r="J391" i="17"/>
  <c r="O391" i="17" s="1"/>
  <c r="M390" i="17"/>
  <c r="R390" i="17" s="1"/>
  <c r="L390" i="17"/>
  <c r="K390" i="17"/>
  <c r="P390" i="17" s="1"/>
  <c r="J390" i="17"/>
  <c r="O390" i="17" s="1"/>
  <c r="M389" i="17"/>
  <c r="R389" i="17" s="1"/>
  <c r="L389" i="17"/>
  <c r="Q389" i="17" s="1"/>
  <c r="K389" i="17"/>
  <c r="P389" i="17" s="1"/>
  <c r="J389" i="17"/>
  <c r="M388" i="17"/>
  <c r="R388" i="17" s="1"/>
  <c r="L388" i="17"/>
  <c r="Q388" i="17" s="1"/>
  <c r="K388" i="17"/>
  <c r="P388" i="17" s="1"/>
  <c r="J388" i="17"/>
  <c r="O388" i="17" s="1"/>
  <c r="M387" i="17"/>
  <c r="R387" i="17" s="1"/>
  <c r="L387" i="17"/>
  <c r="Q387" i="17" s="1"/>
  <c r="K387" i="17"/>
  <c r="P387" i="17" s="1"/>
  <c r="J387" i="17"/>
  <c r="M386" i="17"/>
  <c r="R386" i="17" s="1"/>
  <c r="L386" i="17"/>
  <c r="Q386" i="17" s="1"/>
  <c r="K386" i="17"/>
  <c r="P386" i="17" s="1"/>
  <c r="J386" i="17"/>
  <c r="O386" i="17" s="1"/>
  <c r="M385" i="17"/>
  <c r="R385" i="17" s="1"/>
  <c r="L385" i="17"/>
  <c r="Q385" i="17" s="1"/>
  <c r="K385" i="17"/>
  <c r="P385" i="17" s="1"/>
  <c r="J385" i="17"/>
  <c r="M384" i="17"/>
  <c r="R384" i="17" s="1"/>
  <c r="L384" i="17"/>
  <c r="Q384" i="17" s="1"/>
  <c r="K384" i="17"/>
  <c r="P384" i="17" s="1"/>
  <c r="J384" i="17"/>
  <c r="M383" i="17"/>
  <c r="R383" i="17" s="1"/>
  <c r="L383" i="17"/>
  <c r="Q383" i="17" s="1"/>
  <c r="K383" i="17"/>
  <c r="P383" i="17" s="1"/>
  <c r="J383" i="17"/>
  <c r="M382" i="17"/>
  <c r="R382" i="17" s="1"/>
  <c r="L382" i="17"/>
  <c r="Q382" i="17" s="1"/>
  <c r="K382" i="17"/>
  <c r="P382" i="17" s="1"/>
  <c r="J382" i="17"/>
  <c r="O382" i="17" s="1"/>
  <c r="M381" i="17"/>
  <c r="R381" i="17" s="1"/>
  <c r="L381" i="17"/>
  <c r="Q381" i="17" s="1"/>
  <c r="K381" i="17"/>
  <c r="P381" i="17" s="1"/>
  <c r="J381" i="17"/>
  <c r="O381" i="17" s="1"/>
  <c r="M380" i="17"/>
  <c r="R380" i="17" s="1"/>
  <c r="L380" i="17"/>
  <c r="Q380" i="17" s="1"/>
  <c r="K380" i="17"/>
  <c r="J380" i="17"/>
  <c r="O380" i="17" s="1"/>
  <c r="M379" i="17"/>
  <c r="R379" i="17" s="1"/>
  <c r="L379" i="17"/>
  <c r="K379" i="17"/>
  <c r="P379" i="17" s="1"/>
  <c r="J379" i="17"/>
  <c r="O379" i="17" s="1"/>
  <c r="M378" i="17"/>
  <c r="R378" i="17" s="1"/>
  <c r="L378" i="17"/>
  <c r="Q378" i="17" s="1"/>
  <c r="K378" i="17"/>
  <c r="P378" i="17" s="1"/>
  <c r="J378" i="17"/>
  <c r="O378" i="17" s="1"/>
  <c r="M377" i="17"/>
  <c r="R377" i="17" s="1"/>
  <c r="L377" i="17"/>
  <c r="Q377" i="17" s="1"/>
  <c r="K377" i="17"/>
  <c r="P377" i="17" s="1"/>
  <c r="J377" i="17"/>
  <c r="O377" i="17" s="1"/>
  <c r="M376" i="17"/>
  <c r="R376" i="17" s="1"/>
  <c r="L376" i="17"/>
  <c r="Q376" i="17" s="1"/>
  <c r="K376" i="17"/>
  <c r="J376" i="17"/>
  <c r="O376" i="17" s="1"/>
  <c r="M375" i="17"/>
  <c r="R375" i="17" s="1"/>
  <c r="L375" i="17"/>
  <c r="Q375" i="17" s="1"/>
  <c r="K375" i="17"/>
  <c r="P375" i="17" s="1"/>
  <c r="J375" i="17"/>
  <c r="O375" i="17" s="1"/>
  <c r="M374" i="17"/>
  <c r="R374" i="17" s="1"/>
  <c r="L374" i="17"/>
  <c r="Q374" i="17" s="1"/>
  <c r="K374" i="17"/>
  <c r="P374" i="17" s="1"/>
  <c r="J374" i="17"/>
  <c r="M373" i="17"/>
  <c r="R373" i="17" s="1"/>
  <c r="L373" i="17"/>
  <c r="K373" i="17"/>
  <c r="P373" i="17" s="1"/>
  <c r="J373" i="17"/>
  <c r="O373" i="17" s="1"/>
  <c r="M372" i="17"/>
  <c r="R372" i="17" s="1"/>
  <c r="L372" i="17"/>
  <c r="Q372" i="17" s="1"/>
  <c r="K372" i="17"/>
  <c r="P372" i="17" s="1"/>
  <c r="J372" i="17"/>
  <c r="M371" i="17"/>
  <c r="R371" i="17" s="1"/>
  <c r="L371" i="17"/>
  <c r="Q371" i="17" s="1"/>
  <c r="K371" i="17"/>
  <c r="P371" i="17" s="1"/>
  <c r="J371" i="17"/>
  <c r="M370" i="17"/>
  <c r="R370" i="17" s="1"/>
  <c r="L370" i="17"/>
  <c r="Q370" i="17" s="1"/>
  <c r="K370" i="17"/>
  <c r="P370" i="17" s="1"/>
  <c r="J370" i="17"/>
  <c r="M369" i="17"/>
  <c r="R369" i="17" s="1"/>
  <c r="L369" i="17"/>
  <c r="Q369" i="17" s="1"/>
  <c r="K369" i="17"/>
  <c r="P369" i="17" s="1"/>
  <c r="J369" i="17"/>
  <c r="O369" i="17" s="1"/>
  <c r="M368" i="17"/>
  <c r="R368" i="17" s="1"/>
  <c r="L368" i="17"/>
  <c r="Q368" i="17" s="1"/>
  <c r="K368" i="17"/>
  <c r="J368" i="17"/>
  <c r="O368" i="17" s="1"/>
  <c r="M367" i="17"/>
  <c r="R367" i="17" s="1"/>
  <c r="L367" i="17"/>
  <c r="Q367" i="17" s="1"/>
  <c r="K367" i="17"/>
  <c r="P367" i="17" s="1"/>
  <c r="J367" i="17"/>
  <c r="O367" i="17" s="1"/>
  <c r="M366" i="17"/>
  <c r="R366" i="17" s="1"/>
  <c r="L366" i="17"/>
  <c r="Q366" i="17" s="1"/>
  <c r="K366" i="17"/>
  <c r="P366" i="17" s="1"/>
  <c r="J366" i="17"/>
  <c r="O366" i="17" s="1"/>
  <c r="M365" i="17"/>
  <c r="R365" i="17" s="1"/>
  <c r="L365" i="17"/>
  <c r="K365" i="17"/>
  <c r="P365" i="17" s="1"/>
  <c r="J365" i="17"/>
  <c r="O365" i="17" s="1"/>
  <c r="M364" i="17"/>
  <c r="R364" i="17" s="1"/>
  <c r="L364" i="17"/>
  <c r="Q364" i="17" s="1"/>
  <c r="K364" i="17"/>
  <c r="P364" i="17" s="1"/>
  <c r="J364" i="17"/>
  <c r="O364" i="17" s="1"/>
  <c r="M363" i="17"/>
  <c r="R363" i="17" s="1"/>
  <c r="L363" i="17"/>
  <c r="Q363" i="17" s="1"/>
  <c r="K363" i="17"/>
  <c r="P363" i="17" s="1"/>
  <c r="J363" i="17"/>
  <c r="M362" i="17"/>
  <c r="R362" i="17" s="1"/>
  <c r="L362" i="17"/>
  <c r="Q362" i="17" s="1"/>
  <c r="K362" i="17"/>
  <c r="P362" i="17" s="1"/>
  <c r="J362" i="17"/>
  <c r="M361" i="17"/>
  <c r="R361" i="17" s="1"/>
  <c r="L361" i="17"/>
  <c r="Q361" i="17" s="1"/>
  <c r="K361" i="17"/>
  <c r="P361" i="17" s="1"/>
  <c r="J361" i="17"/>
  <c r="O361" i="17" s="1"/>
  <c r="M360" i="17"/>
  <c r="R360" i="17" s="1"/>
  <c r="L360" i="17"/>
  <c r="Q360" i="17" s="1"/>
  <c r="K360" i="17"/>
  <c r="J360" i="17"/>
  <c r="O360" i="17" s="1"/>
  <c r="M359" i="17"/>
  <c r="R359" i="17" s="1"/>
  <c r="L359" i="17"/>
  <c r="Q359" i="17" s="1"/>
  <c r="K359" i="17"/>
  <c r="P359" i="17" s="1"/>
  <c r="J359" i="17"/>
  <c r="O359" i="17" s="1"/>
  <c r="M358" i="17"/>
  <c r="R358" i="17" s="1"/>
  <c r="L358" i="17"/>
  <c r="Q358" i="17" s="1"/>
  <c r="K358" i="17"/>
  <c r="P358" i="17" s="1"/>
  <c r="J358" i="17"/>
  <c r="M357" i="17"/>
  <c r="R357" i="17" s="1"/>
  <c r="L357" i="17"/>
  <c r="K357" i="17"/>
  <c r="P357" i="17" s="1"/>
  <c r="J357" i="17"/>
  <c r="O357" i="17" s="1"/>
  <c r="M356" i="17"/>
  <c r="R356" i="17" s="1"/>
  <c r="L356" i="17"/>
  <c r="Q356" i="17" s="1"/>
  <c r="K356" i="17"/>
  <c r="P356" i="17" s="1"/>
  <c r="J356" i="17"/>
  <c r="M355" i="17"/>
  <c r="R355" i="17" s="1"/>
  <c r="L355" i="17"/>
  <c r="Q355" i="17" s="1"/>
  <c r="K355" i="17"/>
  <c r="P355" i="17" s="1"/>
  <c r="J355" i="17"/>
  <c r="M354" i="17"/>
  <c r="R354" i="17" s="1"/>
  <c r="L354" i="17"/>
  <c r="Q354" i="17" s="1"/>
  <c r="K354" i="17"/>
  <c r="P354" i="17" s="1"/>
  <c r="J354" i="17"/>
  <c r="M353" i="17"/>
  <c r="R353" i="17" s="1"/>
  <c r="L353" i="17"/>
  <c r="Q353" i="17" s="1"/>
  <c r="K353" i="17"/>
  <c r="P353" i="17" s="1"/>
  <c r="J353" i="17"/>
  <c r="O353" i="17" s="1"/>
  <c r="M352" i="17"/>
  <c r="R352" i="17" s="1"/>
  <c r="L352" i="17"/>
  <c r="Q352" i="17" s="1"/>
  <c r="K352" i="17"/>
  <c r="J352" i="17"/>
  <c r="O352" i="17" s="1"/>
  <c r="M351" i="17"/>
  <c r="R351" i="17" s="1"/>
  <c r="L351" i="17"/>
  <c r="Q351" i="17" s="1"/>
  <c r="K351" i="17"/>
  <c r="P351" i="17" s="1"/>
  <c r="J351" i="17"/>
  <c r="O351" i="17" s="1"/>
  <c r="M350" i="17"/>
  <c r="R350" i="17" s="1"/>
  <c r="L350" i="17"/>
  <c r="Q350" i="17" s="1"/>
  <c r="K350" i="17"/>
  <c r="P350" i="17" s="1"/>
  <c r="J350" i="17"/>
  <c r="M349" i="17"/>
  <c r="R349" i="17" s="1"/>
  <c r="L349" i="17"/>
  <c r="K349" i="17"/>
  <c r="P349" i="17" s="1"/>
  <c r="J349" i="17"/>
  <c r="O349" i="17" s="1"/>
  <c r="M348" i="17"/>
  <c r="R348" i="17" s="1"/>
  <c r="L348" i="17"/>
  <c r="Q348" i="17" s="1"/>
  <c r="K348" i="17"/>
  <c r="P348" i="17" s="1"/>
  <c r="J348" i="17"/>
  <c r="O348" i="17" s="1"/>
  <c r="M347" i="17"/>
  <c r="R347" i="17" s="1"/>
  <c r="L347" i="17"/>
  <c r="Q347" i="17" s="1"/>
  <c r="K347" i="17"/>
  <c r="P347" i="17" s="1"/>
  <c r="J347" i="17"/>
  <c r="M346" i="17"/>
  <c r="R346" i="17" s="1"/>
  <c r="L346" i="17"/>
  <c r="Q346" i="17" s="1"/>
  <c r="K346" i="17"/>
  <c r="P346" i="17" s="1"/>
  <c r="J346" i="17"/>
  <c r="M345" i="17"/>
  <c r="R345" i="17" s="1"/>
  <c r="L345" i="17"/>
  <c r="Q345" i="17" s="1"/>
  <c r="K345" i="17"/>
  <c r="P345" i="17" s="1"/>
  <c r="J345" i="17"/>
  <c r="M344" i="17"/>
  <c r="R344" i="17" s="1"/>
  <c r="L344" i="17"/>
  <c r="Q344" i="17" s="1"/>
  <c r="K344" i="17"/>
  <c r="P344" i="17" s="1"/>
  <c r="J344" i="17"/>
  <c r="M343" i="17"/>
  <c r="L343" i="17"/>
  <c r="Q343" i="17" s="1"/>
  <c r="K343" i="17"/>
  <c r="P343" i="17" s="1"/>
  <c r="J343" i="17"/>
  <c r="O343" i="17" s="1"/>
  <c r="M342" i="17"/>
  <c r="R342" i="17" s="1"/>
  <c r="L342" i="17"/>
  <c r="Q342" i="17" s="1"/>
  <c r="K342" i="17"/>
  <c r="P342" i="17" s="1"/>
  <c r="J342" i="17"/>
  <c r="O342" i="17" s="1"/>
  <c r="M341" i="17"/>
  <c r="R341" i="17" s="1"/>
  <c r="L341" i="17"/>
  <c r="Q341" i="17" s="1"/>
  <c r="K341" i="17"/>
  <c r="J341" i="17"/>
  <c r="O341" i="17" s="1"/>
  <c r="M340" i="17"/>
  <c r="R340" i="17" s="1"/>
  <c r="L340" i="17"/>
  <c r="Q340" i="17" s="1"/>
  <c r="K340" i="17"/>
  <c r="P340" i="17" s="1"/>
  <c r="J340" i="17"/>
  <c r="M339" i="17"/>
  <c r="R339" i="17" s="1"/>
  <c r="L339" i="17"/>
  <c r="Q339" i="17" s="1"/>
  <c r="K339" i="17"/>
  <c r="P339" i="17" s="1"/>
  <c r="J339" i="17"/>
  <c r="O339" i="17" s="1"/>
  <c r="M338" i="17"/>
  <c r="R338" i="17" s="1"/>
  <c r="L338" i="17"/>
  <c r="Q338" i="17" s="1"/>
  <c r="K338" i="17"/>
  <c r="P338" i="17" s="1"/>
  <c r="J338" i="17"/>
  <c r="M337" i="17"/>
  <c r="R337" i="17" s="1"/>
  <c r="L337" i="17"/>
  <c r="Q337" i="17" s="1"/>
  <c r="K337" i="17"/>
  <c r="P337" i="17" s="1"/>
  <c r="J337" i="17"/>
  <c r="M336" i="17"/>
  <c r="R336" i="17" s="1"/>
  <c r="L336" i="17"/>
  <c r="Q336" i="17" s="1"/>
  <c r="K336" i="17"/>
  <c r="P336" i="17" s="1"/>
  <c r="J336" i="17"/>
  <c r="M335" i="17"/>
  <c r="L335" i="17"/>
  <c r="Q335" i="17" s="1"/>
  <c r="K335" i="17"/>
  <c r="P335" i="17" s="1"/>
  <c r="J335" i="17"/>
  <c r="O335" i="17" s="1"/>
  <c r="M334" i="17"/>
  <c r="R334" i="17" s="1"/>
  <c r="L334" i="17"/>
  <c r="Q334" i="17" s="1"/>
  <c r="K334" i="17"/>
  <c r="P334" i="17" s="1"/>
  <c r="J334" i="17"/>
  <c r="O334" i="17" s="1"/>
  <c r="M333" i="17"/>
  <c r="R333" i="17" s="1"/>
  <c r="L333" i="17"/>
  <c r="Q333" i="17" s="1"/>
  <c r="K333" i="17"/>
  <c r="J333" i="17"/>
  <c r="O333" i="17" s="1"/>
  <c r="M332" i="17"/>
  <c r="R332" i="17" s="1"/>
  <c r="L332" i="17"/>
  <c r="Q332" i="17" s="1"/>
  <c r="K332" i="17"/>
  <c r="P332" i="17" s="1"/>
  <c r="J332" i="17"/>
  <c r="O332" i="17" s="1"/>
  <c r="M331" i="17"/>
  <c r="R331" i="17" s="1"/>
  <c r="L331" i="17"/>
  <c r="Q331" i="17" s="1"/>
  <c r="K331" i="17"/>
  <c r="P331" i="17" s="1"/>
  <c r="J331" i="17"/>
  <c r="O331" i="17" s="1"/>
  <c r="M330" i="17"/>
  <c r="R330" i="17" s="1"/>
  <c r="L330" i="17"/>
  <c r="Q330" i="17" s="1"/>
  <c r="K330" i="17"/>
  <c r="P330" i="17" s="1"/>
  <c r="J330" i="17"/>
  <c r="M329" i="17"/>
  <c r="R329" i="17" s="1"/>
  <c r="L329" i="17"/>
  <c r="Q329" i="17" s="1"/>
  <c r="K329" i="17"/>
  <c r="P329" i="17" s="1"/>
  <c r="J329" i="17"/>
  <c r="M328" i="17"/>
  <c r="R328" i="17" s="1"/>
  <c r="L328" i="17"/>
  <c r="Q328" i="17" s="1"/>
  <c r="K328" i="17"/>
  <c r="P328" i="17" s="1"/>
  <c r="J328" i="17"/>
  <c r="M327" i="17"/>
  <c r="L327" i="17"/>
  <c r="Q327" i="17" s="1"/>
  <c r="K327" i="17"/>
  <c r="P327" i="17" s="1"/>
  <c r="J327" i="17"/>
  <c r="O327" i="17" s="1"/>
  <c r="M326" i="17"/>
  <c r="R326" i="17" s="1"/>
  <c r="L326" i="17"/>
  <c r="Q326" i="17" s="1"/>
  <c r="K326" i="17"/>
  <c r="P326" i="17" s="1"/>
  <c r="J326" i="17"/>
  <c r="M325" i="17"/>
  <c r="R325" i="17" s="1"/>
  <c r="L325" i="17"/>
  <c r="Q325" i="17" s="1"/>
  <c r="K325" i="17"/>
  <c r="J325" i="17"/>
  <c r="O325" i="17" s="1"/>
  <c r="M324" i="17"/>
  <c r="R324" i="17" s="1"/>
  <c r="L324" i="17"/>
  <c r="Q324" i="17" s="1"/>
  <c r="K324" i="17"/>
  <c r="P324" i="17" s="1"/>
  <c r="J324" i="17"/>
  <c r="M323" i="17"/>
  <c r="R323" i="17" s="1"/>
  <c r="L323" i="17"/>
  <c r="Q323" i="17" s="1"/>
  <c r="K323" i="17"/>
  <c r="P323" i="17" s="1"/>
  <c r="J323" i="17"/>
  <c r="O323" i="17" s="1"/>
  <c r="M322" i="17"/>
  <c r="R322" i="17" s="1"/>
  <c r="L322" i="17"/>
  <c r="Q322" i="17" s="1"/>
  <c r="K322" i="17"/>
  <c r="P322" i="17" s="1"/>
  <c r="J322" i="17"/>
  <c r="M321" i="17"/>
  <c r="R321" i="17" s="1"/>
  <c r="L321" i="17"/>
  <c r="Q321" i="17" s="1"/>
  <c r="K321" i="17"/>
  <c r="P321" i="17" s="1"/>
  <c r="J321" i="17"/>
  <c r="O321" i="17" s="1"/>
  <c r="M320" i="17"/>
  <c r="R320" i="17" s="1"/>
  <c r="L320" i="17"/>
  <c r="Q320" i="17" s="1"/>
  <c r="K320" i="17"/>
  <c r="P320" i="17" s="1"/>
  <c r="J320" i="17"/>
  <c r="M319" i="17"/>
  <c r="L319" i="17"/>
  <c r="Q319" i="17" s="1"/>
  <c r="K319" i="17"/>
  <c r="P319" i="17" s="1"/>
  <c r="J319" i="17"/>
  <c r="O319" i="17" s="1"/>
  <c r="M318" i="17"/>
  <c r="R318" i="17" s="1"/>
  <c r="L318" i="17"/>
  <c r="Q318" i="17" s="1"/>
  <c r="K318" i="17"/>
  <c r="P318" i="17" s="1"/>
  <c r="J318" i="17"/>
  <c r="O318" i="17" s="1"/>
  <c r="M317" i="17"/>
  <c r="R317" i="17" s="1"/>
  <c r="L317" i="17"/>
  <c r="Q317" i="17" s="1"/>
  <c r="K317" i="17"/>
  <c r="J317" i="17"/>
  <c r="O317" i="17" s="1"/>
  <c r="M316" i="17"/>
  <c r="R316" i="17" s="1"/>
  <c r="L316" i="17"/>
  <c r="Q316" i="17" s="1"/>
  <c r="K316" i="17"/>
  <c r="P316" i="17" s="1"/>
  <c r="J316" i="17"/>
  <c r="M315" i="17"/>
  <c r="R315" i="17" s="1"/>
  <c r="L315" i="17"/>
  <c r="Q315" i="17" s="1"/>
  <c r="K315" i="17"/>
  <c r="P315" i="17" s="1"/>
  <c r="J315" i="17"/>
  <c r="O315" i="17" s="1"/>
  <c r="M314" i="17"/>
  <c r="R314" i="17" s="1"/>
  <c r="L314" i="17"/>
  <c r="Q314" i="17" s="1"/>
  <c r="K314" i="17"/>
  <c r="P314" i="17" s="1"/>
  <c r="J314" i="17"/>
  <c r="M313" i="17"/>
  <c r="R313" i="17" s="1"/>
  <c r="L313" i="17"/>
  <c r="Q313" i="17" s="1"/>
  <c r="K313" i="17"/>
  <c r="P313" i="17" s="1"/>
  <c r="J313" i="17"/>
  <c r="M312" i="17"/>
  <c r="R312" i="17" s="1"/>
  <c r="L312" i="17"/>
  <c r="Q312" i="17" s="1"/>
  <c r="K312" i="17"/>
  <c r="P312" i="17" s="1"/>
  <c r="J312" i="17"/>
  <c r="M311" i="17"/>
  <c r="L311" i="17"/>
  <c r="Q311" i="17" s="1"/>
  <c r="K311" i="17"/>
  <c r="P311" i="17" s="1"/>
  <c r="J311" i="17"/>
  <c r="O311" i="17" s="1"/>
  <c r="M310" i="17"/>
  <c r="R310" i="17" s="1"/>
  <c r="L310" i="17"/>
  <c r="Q310" i="17" s="1"/>
  <c r="K310" i="17"/>
  <c r="P310" i="17" s="1"/>
  <c r="J310" i="17"/>
  <c r="O310" i="17" s="1"/>
  <c r="M309" i="17"/>
  <c r="R309" i="17" s="1"/>
  <c r="L309" i="17"/>
  <c r="Q309" i="17" s="1"/>
  <c r="K309" i="17"/>
  <c r="J309" i="17"/>
  <c r="O309" i="17" s="1"/>
  <c r="M308" i="17"/>
  <c r="R308" i="17" s="1"/>
  <c r="L308" i="17"/>
  <c r="Q308" i="17" s="1"/>
  <c r="K308" i="17"/>
  <c r="P308" i="17" s="1"/>
  <c r="J308" i="17"/>
  <c r="M307" i="17"/>
  <c r="R307" i="17" s="1"/>
  <c r="L307" i="17"/>
  <c r="Q307" i="17" s="1"/>
  <c r="K307" i="17"/>
  <c r="P307" i="17" s="1"/>
  <c r="J307" i="17"/>
  <c r="O307" i="17" s="1"/>
  <c r="M306" i="17"/>
  <c r="R306" i="17" s="1"/>
  <c r="L306" i="17"/>
  <c r="Q306" i="17" s="1"/>
  <c r="K306" i="17"/>
  <c r="P306" i="17" s="1"/>
  <c r="J306" i="17"/>
  <c r="M305" i="17"/>
  <c r="R305" i="17" s="1"/>
  <c r="L305" i="17"/>
  <c r="Q305" i="17" s="1"/>
  <c r="K305" i="17"/>
  <c r="P305" i="17" s="1"/>
  <c r="J305" i="17"/>
  <c r="M304" i="17"/>
  <c r="R304" i="17" s="1"/>
  <c r="L304" i="17"/>
  <c r="Q304" i="17" s="1"/>
  <c r="K304" i="17"/>
  <c r="P304" i="17" s="1"/>
  <c r="J304" i="17"/>
  <c r="M303" i="17"/>
  <c r="L303" i="17"/>
  <c r="Q303" i="17" s="1"/>
  <c r="K303" i="17"/>
  <c r="P303" i="17" s="1"/>
  <c r="J303" i="17"/>
  <c r="O303" i="17" s="1"/>
  <c r="M302" i="17"/>
  <c r="R302" i="17" s="1"/>
  <c r="L302" i="17"/>
  <c r="Q302" i="17" s="1"/>
  <c r="K302" i="17"/>
  <c r="P302" i="17" s="1"/>
  <c r="J302" i="17"/>
  <c r="M301" i="17"/>
  <c r="R301" i="17" s="1"/>
  <c r="L301" i="17"/>
  <c r="Q301" i="17" s="1"/>
  <c r="K301" i="17"/>
  <c r="J301" i="17"/>
  <c r="O301" i="17" s="1"/>
  <c r="M300" i="17"/>
  <c r="R300" i="17" s="1"/>
  <c r="L300" i="17"/>
  <c r="Q300" i="17" s="1"/>
  <c r="K300" i="17"/>
  <c r="P300" i="17" s="1"/>
  <c r="J300" i="17"/>
  <c r="M299" i="17"/>
  <c r="R299" i="17" s="1"/>
  <c r="L299" i="17"/>
  <c r="Q299" i="17" s="1"/>
  <c r="K299" i="17"/>
  <c r="P299" i="17" s="1"/>
  <c r="J299" i="17"/>
  <c r="M298" i="17"/>
  <c r="R298" i="17" s="1"/>
  <c r="L298" i="17"/>
  <c r="Q298" i="17" s="1"/>
  <c r="K298" i="17"/>
  <c r="P298" i="17" s="1"/>
  <c r="J298" i="17"/>
  <c r="M297" i="17"/>
  <c r="R297" i="17" s="1"/>
  <c r="L297" i="17"/>
  <c r="Q297" i="17" s="1"/>
  <c r="K297" i="17"/>
  <c r="P297" i="17" s="1"/>
  <c r="J297" i="17"/>
  <c r="M296" i="17"/>
  <c r="R296" i="17" s="1"/>
  <c r="L296" i="17"/>
  <c r="Q296" i="17" s="1"/>
  <c r="K296" i="17"/>
  <c r="P296" i="17" s="1"/>
  <c r="J296" i="17"/>
  <c r="M295" i="17"/>
  <c r="L295" i="17"/>
  <c r="Q295" i="17" s="1"/>
  <c r="K295" i="17"/>
  <c r="P295" i="17" s="1"/>
  <c r="J295" i="17"/>
  <c r="O295" i="17" s="1"/>
  <c r="M294" i="17"/>
  <c r="R294" i="17" s="1"/>
  <c r="L294" i="17"/>
  <c r="Q294" i="17" s="1"/>
  <c r="K294" i="17"/>
  <c r="J294" i="17"/>
  <c r="O294" i="17" s="1"/>
  <c r="M293" i="17"/>
  <c r="R293" i="17" s="1"/>
  <c r="L293" i="17"/>
  <c r="Q293" i="17" s="1"/>
  <c r="K293" i="17"/>
  <c r="J293" i="17"/>
  <c r="O293" i="17" s="1"/>
  <c r="M292" i="17"/>
  <c r="R292" i="17" s="1"/>
  <c r="L292" i="17"/>
  <c r="Q292" i="17" s="1"/>
  <c r="K292" i="17"/>
  <c r="P292" i="17" s="1"/>
  <c r="J292" i="17"/>
  <c r="M291" i="17"/>
  <c r="R291" i="17" s="1"/>
  <c r="L291" i="17"/>
  <c r="K291" i="17"/>
  <c r="P291" i="17" s="1"/>
  <c r="J291" i="17"/>
  <c r="O291" i="17" s="1"/>
  <c r="M290" i="17"/>
  <c r="R290" i="17" s="1"/>
  <c r="L290" i="17"/>
  <c r="Q290" i="17" s="1"/>
  <c r="K290" i="17"/>
  <c r="P290" i="17" s="1"/>
  <c r="J290" i="17"/>
  <c r="M289" i="17"/>
  <c r="R289" i="17" s="1"/>
  <c r="L289" i="17"/>
  <c r="Q289" i="17" s="1"/>
  <c r="K289" i="17"/>
  <c r="P289" i="17" s="1"/>
  <c r="J289" i="17"/>
  <c r="M288" i="17"/>
  <c r="R288" i="17" s="1"/>
  <c r="L288" i="17"/>
  <c r="Q288" i="17" s="1"/>
  <c r="K288" i="17"/>
  <c r="P288" i="17" s="1"/>
  <c r="J288" i="17"/>
  <c r="M287" i="17"/>
  <c r="L287" i="17"/>
  <c r="Q287" i="17" s="1"/>
  <c r="K287" i="17"/>
  <c r="P287" i="17" s="1"/>
  <c r="J287" i="17"/>
  <c r="O287" i="17" s="1"/>
  <c r="M286" i="17"/>
  <c r="R286" i="17" s="1"/>
  <c r="L286" i="17"/>
  <c r="Q286" i="17" s="1"/>
  <c r="K286" i="17"/>
  <c r="P286" i="17" s="1"/>
  <c r="J286" i="17"/>
  <c r="O286" i="17" s="1"/>
  <c r="M285" i="17"/>
  <c r="R285" i="17" s="1"/>
  <c r="L285" i="17"/>
  <c r="Q285" i="17" s="1"/>
  <c r="K285" i="17"/>
  <c r="J285" i="17"/>
  <c r="O285" i="17" s="1"/>
  <c r="M284" i="17"/>
  <c r="R284" i="17" s="1"/>
  <c r="L284" i="17"/>
  <c r="Q284" i="17" s="1"/>
  <c r="K284" i="17"/>
  <c r="P284" i="17" s="1"/>
  <c r="J284" i="17"/>
  <c r="M283" i="17"/>
  <c r="R283" i="17" s="1"/>
  <c r="L283" i="17"/>
  <c r="Q283" i="17" s="1"/>
  <c r="K283" i="17"/>
  <c r="P283" i="17" s="1"/>
  <c r="J283" i="17"/>
  <c r="O283" i="17" s="1"/>
  <c r="M282" i="17"/>
  <c r="R282" i="17" s="1"/>
  <c r="L282" i="17"/>
  <c r="Q282" i="17" s="1"/>
  <c r="K282" i="17"/>
  <c r="P282" i="17" s="1"/>
  <c r="J282" i="17"/>
  <c r="M281" i="17"/>
  <c r="R281" i="17" s="1"/>
  <c r="L281" i="17"/>
  <c r="Q281" i="17" s="1"/>
  <c r="K281" i="17"/>
  <c r="P281" i="17" s="1"/>
  <c r="J281" i="17"/>
  <c r="M280" i="17"/>
  <c r="R280" i="17" s="1"/>
  <c r="L280" i="17"/>
  <c r="Q280" i="17" s="1"/>
  <c r="K280" i="17"/>
  <c r="P280" i="17" s="1"/>
  <c r="J280" i="17"/>
  <c r="M279" i="17"/>
  <c r="L279" i="17"/>
  <c r="Q279" i="17" s="1"/>
  <c r="K279" i="17"/>
  <c r="P279" i="17" s="1"/>
  <c r="J279" i="17"/>
  <c r="O279" i="17" s="1"/>
  <c r="M278" i="17"/>
  <c r="R278" i="17" s="1"/>
  <c r="L278" i="17"/>
  <c r="Q278" i="17" s="1"/>
  <c r="K278" i="17"/>
  <c r="P278" i="17" s="1"/>
  <c r="J278" i="17"/>
  <c r="O278" i="17" s="1"/>
  <c r="M277" i="17"/>
  <c r="R277" i="17" s="1"/>
  <c r="L277" i="17"/>
  <c r="Q277" i="17" s="1"/>
  <c r="K277" i="17"/>
  <c r="J277" i="17"/>
  <c r="O277" i="17" s="1"/>
  <c r="M276" i="17"/>
  <c r="R276" i="17" s="1"/>
  <c r="L276" i="17"/>
  <c r="Q276" i="17" s="1"/>
  <c r="K276" i="17"/>
  <c r="P276" i="17" s="1"/>
  <c r="J276" i="17"/>
  <c r="O276" i="17" s="1"/>
  <c r="M275" i="17"/>
  <c r="R275" i="17" s="1"/>
  <c r="L275" i="17"/>
  <c r="Q275" i="17" s="1"/>
  <c r="K275" i="17"/>
  <c r="P275" i="17" s="1"/>
  <c r="J275" i="17"/>
  <c r="O275" i="17" s="1"/>
  <c r="M274" i="17"/>
  <c r="R274" i="17" s="1"/>
  <c r="L274" i="17"/>
  <c r="Q274" i="17" s="1"/>
  <c r="K274" i="17"/>
  <c r="P274" i="17" s="1"/>
  <c r="J274" i="17"/>
  <c r="M273" i="17"/>
  <c r="R273" i="17" s="1"/>
  <c r="L273" i="17"/>
  <c r="Q273" i="17" s="1"/>
  <c r="K273" i="17"/>
  <c r="P273" i="17" s="1"/>
  <c r="J273" i="17"/>
  <c r="M272" i="17"/>
  <c r="R272" i="17" s="1"/>
  <c r="L272" i="17"/>
  <c r="Q272" i="17" s="1"/>
  <c r="K272" i="17"/>
  <c r="P272" i="17" s="1"/>
  <c r="J272" i="17"/>
  <c r="M271" i="17"/>
  <c r="L271" i="17"/>
  <c r="Q271" i="17" s="1"/>
  <c r="K271" i="17"/>
  <c r="P271" i="17" s="1"/>
  <c r="J271" i="17"/>
  <c r="O271" i="17" s="1"/>
  <c r="M270" i="17"/>
  <c r="R270" i="17" s="1"/>
  <c r="L270" i="17"/>
  <c r="Q270" i="17" s="1"/>
  <c r="K270" i="17"/>
  <c r="P270" i="17" s="1"/>
  <c r="J270" i="17"/>
  <c r="O270" i="17" s="1"/>
  <c r="M269" i="17"/>
  <c r="R269" i="17" s="1"/>
  <c r="L269" i="17"/>
  <c r="Q269" i="17" s="1"/>
  <c r="K269" i="17"/>
  <c r="J269" i="17"/>
  <c r="O269" i="17" s="1"/>
  <c r="M268" i="17"/>
  <c r="R268" i="17" s="1"/>
  <c r="L268" i="17"/>
  <c r="Q268" i="17" s="1"/>
  <c r="K268" i="17"/>
  <c r="P268" i="17" s="1"/>
  <c r="J268" i="17"/>
  <c r="O268" i="17" s="1"/>
  <c r="M267" i="17"/>
  <c r="R267" i="17" s="1"/>
  <c r="L267" i="17"/>
  <c r="Q267" i="17" s="1"/>
  <c r="K267" i="17"/>
  <c r="P267" i="17" s="1"/>
  <c r="J267" i="17"/>
  <c r="M266" i="17"/>
  <c r="R266" i="17" s="1"/>
  <c r="L266" i="17"/>
  <c r="Q266" i="17" s="1"/>
  <c r="K266" i="17"/>
  <c r="P266" i="17" s="1"/>
  <c r="J266" i="17"/>
  <c r="M265" i="17"/>
  <c r="R265" i="17" s="1"/>
  <c r="L265" i="17"/>
  <c r="Q265" i="17" s="1"/>
  <c r="K265" i="17"/>
  <c r="P265" i="17" s="1"/>
  <c r="J265" i="17"/>
  <c r="M264" i="17"/>
  <c r="R264" i="17" s="1"/>
  <c r="L264" i="17"/>
  <c r="Q264" i="17" s="1"/>
  <c r="K264" i="17"/>
  <c r="P264" i="17" s="1"/>
  <c r="J264" i="17"/>
  <c r="M263" i="17"/>
  <c r="L263" i="17"/>
  <c r="Q263" i="17" s="1"/>
  <c r="K263" i="17"/>
  <c r="P263" i="17" s="1"/>
  <c r="J263" i="17"/>
  <c r="O263" i="17" s="1"/>
  <c r="M262" i="17"/>
  <c r="R262" i="17" s="1"/>
  <c r="L262" i="17"/>
  <c r="Q262" i="17" s="1"/>
  <c r="K262" i="17"/>
  <c r="P262" i="17" s="1"/>
  <c r="J262" i="17"/>
  <c r="O262" i="17" s="1"/>
  <c r="M261" i="17"/>
  <c r="R261" i="17" s="1"/>
  <c r="L261" i="17"/>
  <c r="Q261" i="17" s="1"/>
  <c r="K261" i="17"/>
  <c r="J261" i="17"/>
  <c r="O261" i="17" s="1"/>
  <c r="M260" i="17"/>
  <c r="R260" i="17" s="1"/>
  <c r="L260" i="17"/>
  <c r="Q260" i="17" s="1"/>
  <c r="K260" i="17"/>
  <c r="P260" i="17" s="1"/>
  <c r="J260" i="17"/>
  <c r="M259" i="17"/>
  <c r="R259" i="17" s="1"/>
  <c r="L259" i="17"/>
  <c r="Q259" i="17" s="1"/>
  <c r="K259" i="17"/>
  <c r="P259" i="17" s="1"/>
  <c r="J259" i="17"/>
  <c r="O259" i="17" s="1"/>
  <c r="M258" i="17"/>
  <c r="R258" i="17" s="1"/>
  <c r="L258" i="17"/>
  <c r="Q258" i="17" s="1"/>
  <c r="K258" i="17"/>
  <c r="P258" i="17" s="1"/>
  <c r="J258" i="17"/>
  <c r="M257" i="17"/>
  <c r="R257" i="17" s="1"/>
  <c r="L257" i="17"/>
  <c r="Q257" i="17" s="1"/>
  <c r="K257" i="17"/>
  <c r="P257" i="17" s="1"/>
  <c r="J257" i="17"/>
  <c r="M256" i="17"/>
  <c r="R256" i="17" s="1"/>
  <c r="L256" i="17"/>
  <c r="Q256" i="17" s="1"/>
  <c r="K256" i="17"/>
  <c r="P256" i="17" s="1"/>
  <c r="J256" i="17"/>
  <c r="M255" i="17"/>
  <c r="L255" i="17"/>
  <c r="Q255" i="17" s="1"/>
  <c r="K255" i="17"/>
  <c r="P255" i="17" s="1"/>
  <c r="J255" i="17"/>
  <c r="O255" i="17" s="1"/>
  <c r="M254" i="17"/>
  <c r="R254" i="17" s="1"/>
  <c r="L254" i="17"/>
  <c r="Q254" i="17" s="1"/>
  <c r="K254" i="17"/>
  <c r="P254" i="17" s="1"/>
  <c r="J254" i="17"/>
  <c r="O254" i="17" s="1"/>
  <c r="M253" i="17"/>
  <c r="R253" i="17" s="1"/>
  <c r="L253" i="17"/>
  <c r="Q253" i="17" s="1"/>
  <c r="K253" i="17"/>
  <c r="J253" i="17"/>
  <c r="O253" i="17" s="1"/>
  <c r="M252" i="17"/>
  <c r="R252" i="17" s="1"/>
  <c r="L252" i="17"/>
  <c r="Q252" i="17" s="1"/>
  <c r="K252" i="17"/>
  <c r="P252" i="17" s="1"/>
  <c r="J252" i="17"/>
  <c r="O252" i="17" s="1"/>
  <c r="M251" i="17"/>
  <c r="R251" i="17" s="1"/>
  <c r="L251" i="17"/>
  <c r="Q251" i="17" s="1"/>
  <c r="K251" i="17"/>
  <c r="P251" i="17" s="1"/>
  <c r="J251" i="17"/>
  <c r="O251" i="17" s="1"/>
  <c r="M250" i="17"/>
  <c r="R250" i="17" s="1"/>
  <c r="L250" i="17"/>
  <c r="Q250" i="17" s="1"/>
  <c r="K250" i="17"/>
  <c r="P250" i="17" s="1"/>
  <c r="J250" i="17"/>
  <c r="M249" i="17"/>
  <c r="R249" i="17" s="1"/>
  <c r="L249" i="17"/>
  <c r="Q249" i="17" s="1"/>
  <c r="K249" i="17"/>
  <c r="P249" i="17" s="1"/>
  <c r="J249" i="17"/>
  <c r="M248" i="17"/>
  <c r="R248" i="17" s="1"/>
  <c r="L248" i="17"/>
  <c r="Q248" i="17" s="1"/>
  <c r="K248" i="17"/>
  <c r="P248" i="17" s="1"/>
  <c r="J248" i="17"/>
  <c r="M247" i="17"/>
  <c r="L247" i="17"/>
  <c r="Q247" i="17" s="1"/>
  <c r="K247" i="17"/>
  <c r="P247" i="17" s="1"/>
  <c r="J247" i="17"/>
  <c r="O247" i="17" s="1"/>
  <c r="M246" i="17"/>
  <c r="R246" i="17" s="1"/>
  <c r="L246" i="17"/>
  <c r="Q246" i="17" s="1"/>
  <c r="K246" i="17"/>
  <c r="P246" i="17" s="1"/>
  <c r="J246" i="17"/>
  <c r="O246" i="17" s="1"/>
  <c r="M245" i="17"/>
  <c r="R245" i="17" s="1"/>
  <c r="L245" i="17"/>
  <c r="Q245" i="17" s="1"/>
  <c r="K245" i="17"/>
  <c r="J245" i="17"/>
  <c r="O245" i="17" s="1"/>
  <c r="M244" i="17"/>
  <c r="R244" i="17" s="1"/>
  <c r="L244" i="17"/>
  <c r="Q244" i="17" s="1"/>
  <c r="K244" i="17"/>
  <c r="P244" i="17" s="1"/>
  <c r="J244" i="17"/>
  <c r="O244" i="17" s="1"/>
  <c r="M243" i="17"/>
  <c r="R243" i="17" s="1"/>
  <c r="L243" i="17"/>
  <c r="K243" i="17"/>
  <c r="P243" i="17" s="1"/>
  <c r="J243" i="17"/>
  <c r="O243" i="17" s="1"/>
  <c r="M242" i="17"/>
  <c r="R242" i="17" s="1"/>
  <c r="L242" i="17"/>
  <c r="Q242" i="17" s="1"/>
  <c r="K242" i="17"/>
  <c r="P242" i="17" s="1"/>
  <c r="J242" i="17"/>
  <c r="M241" i="17"/>
  <c r="R241" i="17" s="1"/>
  <c r="L241" i="17"/>
  <c r="Q241" i="17" s="1"/>
  <c r="K241" i="17"/>
  <c r="P241" i="17" s="1"/>
  <c r="J241" i="17"/>
  <c r="M240" i="17"/>
  <c r="R240" i="17" s="1"/>
  <c r="L240" i="17"/>
  <c r="Q240" i="17" s="1"/>
  <c r="K240" i="17"/>
  <c r="P240" i="17" s="1"/>
  <c r="J240" i="17"/>
  <c r="M239" i="17"/>
  <c r="L239" i="17"/>
  <c r="Q239" i="17" s="1"/>
  <c r="K239" i="17"/>
  <c r="P239" i="17" s="1"/>
  <c r="J239" i="17"/>
  <c r="O239" i="17" s="1"/>
  <c r="M238" i="17"/>
  <c r="R238" i="17" s="1"/>
  <c r="L238" i="17"/>
  <c r="Q238" i="17" s="1"/>
  <c r="K238" i="17"/>
  <c r="P238" i="17" s="1"/>
  <c r="J238" i="17"/>
  <c r="M237" i="17"/>
  <c r="R237" i="17" s="1"/>
  <c r="L237" i="17"/>
  <c r="Q237" i="17" s="1"/>
  <c r="K237" i="17"/>
  <c r="J237" i="17"/>
  <c r="O237" i="17" s="1"/>
  <c r="M236" i="17"/>
  <c r="R236" i="17" s="1"/>
  <c r="L236" i="17"/>
  <c r="Q236" i="17" s="1"/>
  <c r="K236" i="17"/>
  <c r="P236" i="17" s="1"/>
  <c r="J236" i="17"/>
  <c r="M235" i="17"/>
  <c r="R235" i="17" s="1"/>
  <c r="L235" i="17"/>
  <c r="Q235" i="17" s="1"/>
  <c r="K235" i="17"/>
  <c r="P235" i="17" s="1"/>
  <c r="J235" i="17"/>
  <c r="M234" i="17"/>
  <c r="R234" i="17" s="1"/>
  <c r="L234" i="17"/>
  <c r="Q234" i="17" s="1"/>
  <c r="K234" i="17"/>
  <c r="P234" i="17" s="1"/>
  <c r="J234" i="17"/>
  <c r="M233" i="17"/>
  <c r="R233" i="17" s="1"/>
  <c r="L233" i="17"/>
  <c r="Q233" i="17" s="1"/>
  <c r="K233" i="17"/>
  <c r="P233" i="17" s="1"/>
  <c r="J233" i="17"/>
  <c r="M232" i="17"/>
  <c r="R232" i="17" s="1"/>
  <c r="L232" i="17"/>
  <c r="Q232" i="17" s="1"/>
  <c r="K232" i="17"/>
  <c r="P232" i="17" s="1"/>
  <c r="J232" i="17"/>
  <c r="M231" i="17"/>
  <c r="L231" i="17"/>
  <c r="Q231" i="17" s="1"/>
  <c r="K231" i="17"/>
  <c r="P231" i="17" s="1"/>
  <c r="J231" i="17"/>
  <c r="O231" i="17" s="1"/>
  <c r="M230" i="17"/>
  <c r="R230" i="17" s="1"/>
  <c r="L230" i="17"/>
  <c r="Q230" i="17" s="1"/>
  <c r="K230" i="17"/>
  <c r="P230" i="17" s="1"/>
  <c r="J230" i="17"/>
  <c r="O230" i="17" s="1"/>
  <c r="M229" i="17"/>
  <c r="R229" i="17" s="1"/>
  <c r="L229" i="17"/>
  <c r="Q229" i="17" s="1"/>
  <c r="K229" i="17"/>
  <c r="J229" i="17"/>
  <c r="O229" i="17" s="1"/>
  <c r="M228" i="17"/>
  <c r="R228" i="17" s="1"/>
  <c r="L228" i="17"/>
  <c r="Q228" i="17" s="1"/>
  <c r="K228" i="17"/>
  <c r="P228" i="17" s="1"/>
  <c r="J228" i="17"/>
  <c r="M227" i="17"/>
  <c r="R227" i="17" s="1"/>
  <c r="L227" i="17"/>
  <c r="Q227" i="17" s="1"/>
  <c r="K227" i="17"/>
  <c r="P227" i="17" s="1"/>
  <c r="J227" i="17"/>
  <c r="O227" i="17" s="1"/>
  <c r="M226" i="17"/>
  <c r="R226" i="17" s="1"/>
  <c r="L226" i="17"/>
  <c r="Q226" i="17" s="1"/>
  <c r="K226" i="17"/>
  <c r="P226" i="17" s="1"/>
  <c r="J226" i="17"/>
  <c r="M225" i="17"/>
  <c r="R225" i="17" s="1"/>
  <c r="L225" i="17"/>
  <c r="Q225" i="17" s="1"/>
  <c r="K225" i="17"/>
  <c r="P225" i="17" s="1"/>
  <c r="J225" i="17"/>
  <c r="M224" i="17"/>
  <c r="R224" i="17" s="1"/>
  <c r="L224" i="17"/>
  <c r="Q224" i="17" s="1"/>
  <c r="K224" i="17"/>
  <c r="P224" i="17" s="1"/>
  <c r="J224" i="17"/>
  <c r="M223" i="17"/>
  <c r="L223" i="17"/>
  <c r="Q223" i="17" s="1"/>
  <c r="K223" i="17"/>
  <c r="P223" i="17" s="1"/>
  <c r="J223" i="17"/>
  <c r="O223" i="17" s="1"/>
  <c r="M222" i="17"/>
  <c r="R222" i="17" s="1"/>
  <c r="L222" i="17"/>
  <c r="Q222" i="17" s="1"/>
  <c r="K222" i="17"/>
  <c r="P222" i="17" s="1"/>
  <c r="J222" i="17"/>
  <c r="O222" i="17" s="1"/>
  <c r="M221" i="17"/>
  <c r="R221" i="17" s="1"/>
  <c r="L221" i="17"/>
  <c r="Q221" i="17" s="1"/>
  <c r="K221" i="17"/>
  <c r="J221" i="17"/>
  <c r="O221" i="17" s="1"/>
  <c r="M220" i="17"/>
  <c r="R220" i="17" s="1"/>
  <c r="L220" i="17"/>
  <c r="Q220" i="17" s="1"/>
  <c r="K220" i="17"/>
  <c r="P220" i="17" s="1"/>
  <c r="J220" i="17"/>
  <c r="M219" i="17"/>
  <c r="R219" i="17" s="1"/>
  <c r="L219" i="17"/>
  <c r="Q219" i="17" s="1"/>
  <c r="K219" i="17"/>
  <c r="P219" i="17" s="1"/>
  <c r="J219" i="17"/>
  <c r="O219" i="17" s="1"/>
  <c r="M218" i="17"/>
  <c r="R218" i="17" s="1"/>
  <c r="L218" i="17"/>
  <c r="Q218" i="17" s="1"/>
  <c r="K218" i="17"/>
  <c r="P218" i="17" s="1"/>
  <c r="J218" i="17"/>
  <c r="M217" i="17"/>
  <c r="R217" i="17" s="1"/>
  <c r="L217" i="17"/>
  <c r="Q217" i="17" s="1"/>
  <c r="K217" i="17"/>
  <c r="P217" i="17" s="1"/>
  <c r="J217" i="17"/>
  <c r="M216" i="17"/>
  <c r="R216" i="17" s="1"/>
  <c r="L216" i="17"/>
  <c r="Q216" i="17" s="1"/>
  <c r="K216" i="17"/>
  <c r="P216" i="17" s="1"/>
  <c r="J216" i="17"/>
  <c r="M215" i="17"/>
  <c r="L215" i="17"/>
  <c r="Q215" i="17" s="1"/>
  <c r="K215" i="17"/>
  <c r="P215" i="17" s="1"/>
  <c r="J215" i="17"/>
  <c r="O215" i="17" s="1"/>
  <c r="M214" i="17"/>
  <c r="R214" i="17" s="1"/>
  <c r="L214" i="17"/>
  <c r="Q214" i="17" s="1"/>
  <c r="K214" i="17"/>
  <c r="P214" i="17" s="1"/>
  <c r="J214" i="17"/>
  <c r="O214" i="17" s="1"/>
  <c r="M213" i="17"/>
  <c r="R213" i="17" s="1"/>
  <c r="L213" i="17"/>
  <c r="Q213" i="17" s="1"/>
  <c r="K213" i="17"/>
  <c r="J213" i="17"/>
  <c r="O213" i="17" s="1"/>
  <c r="M212" i="17"/>
  <c r="R212" i="17" s="1"/>
  <c r="L212" i="17"/>
  <c r="Q212" i="17" s="1"/>
  <c r="K212" i="17"/>
  <c r="P212" i="17" s="1"/>
  <c r="J212" i="17"/>
  <c r="O212" i="17" s="1"/>
  <c r="M211" i="17"/>
  <c r="R211" i="17" s="1"/>
  <c r="L211" i="17"/>
  <c r="K211" i="17"/>
  <c r="P211" i="17" s="1"/>
  <c r="J211" i="17"/>
  <c r="O211" i="17" s="1"/>
  <c r="M210" i="17"/>
  <c r="R210" i="17" s="1"/>
  <c r="L210" i="17"/>
  <c r="Q210" i="17" s="1"/>
  <c r="K210" i="17"/>
  <c r="P210" i="17" s="1"/>
  <c r="J210" i="17"/>
  <c r="M209" i="17"/>
  <c r="R209" i="17" s="1"/>
  <c r="L209" i="17"/>
  <c r="Q209" i="17" s="1"/>
  <c r="K209" i="17"/>
  <c r="P209" i="17" s="1"/>
  <c r="J209" i="17"/>
  <c r="M208" i="17"/>
  <c r="R208" i="17" s="1"/>
  <c r="L208" i="17"/>
  <c r="Q208" i="17" s="1"/>
  <c r="K208" i="17"/>
  <c r="P208" i="17" s="1"/>
  <c r="J208" i="17"/>
  <c r="M207" i="17"/>
  <c r="L207" i="17"/>
  <c r="Q207" i="17" s="1"/>
  <c r="K207" i="17"/>
  <c r="P207" i="17" s="1"/>
  <c r="J207" i="17"/>
  <c r="O207" i="17" s="1"/>
  <c r="M206" i="17"/>
  <c r="R206" i="17" s="1"/>
  <c r="L206" i="17"/>
  <c r="Q206" i="17" s="1"/>
  <c r="K206" i="17"/>
  <c r="P206" i="17" s="1"/>
  <c r="J206" i="17"/>
  <c r="M205" i="17"/>
  <c r="R205" i="17" s="1"/>
  <c r="L205" i="17"/>
  <c r="Q205" i="17" s="1"/>
  <c r="K205" i="17"/>
  <c r="J205" i="17"/>
  <c r="O205" i="17" s="1"/>
  <c r="M204" i="17"/>
  <c r="R204" i="17" s="1"/>
  <c r="L204" i="17"/>
  <c r="Q204" i="17" s="1"/>
  <c r="K204" i="17"/>
  <c r="P204" i="17" s="1"/>
  <c r="J204" i="17"/>
  <c r="M203" i="17"/>
  <c r="R203" i="17" s="1"/>
  <c r="L203" i="17"/>
  <c r="Q203" i="17" s="1"/>
  <c r="K203" i="17"/>
  <c r="P203" i="17" s="1"/>
  <c r="J203" i="17"/>
  <c r="M202" i="17"/>
  <c r="R202" i="17" s="1"/>
  <c r="L202" i="17"/>
  <c r="Q202" i="17" s="1"/>
  <c r="K202" i="17"/>
  <c r="P202" i="17" s="1"/>
  <c r="J202" i="17"/>
  <c r="M201" i="17"/>
  <c r="R201" i="17" s="1"/>
  <c r="L201" i="17"/>
  <c r="Q201" i="17" s="1"/>
  <c r="K201" i="17"/>
  <c r="P201" i="17" s="1"/>
  <c r="J201" i="17"/>
  <c r="M200" i="17"/>
  <c r="R200" i="17" s="1"/>
  <c r="L200" i="17"/>
  <c r="Q200" i="17" s="1"/>
  <c r="K200" i="17"/>
  <c r="P200" i="17" s="1"/>
  <c r="J200" i="17"/>
  <c r="M199" i="17"/>
  <c r="L199" i="17"/>
  <c r="Q199" i="17" s="1"/>
  <c r="K199" i="17"/>
  <c r="P199" i="17" s="1"/>
  <c r="J199" i="17"/>
  <c r="O199" i="17" s="1"/>
  <c r="M198" i="17"/>
  <c r="R198" i="17" s="1"/>
  <c r="L198" i="17"/>
  <c r="Q198" i="17" s="1"/>
  <c r="K198" i="17"/>
  <c r="P198" i="17" s="1"/>
  <c r="J198" i="17"/>
  <c r="M197" i="17"/>
  <c r="R197" i="17" s="1"/>
  <c r="L197" i="17"/>
  <c r="Q197" i="17" s="1"/>
  <c r="K197" i="17"/>
  <c r="J197" i="17"/>
  <c r="O197" i="17" s="1"/>
  <c r="M196" i="17"/>
  <c r="R196" i="17" s="1"/>
  <c r="L196" i="17"/>
  <c r="Q196" i="17" s="1"/>
  <c r="K196" i="17"/>
  <c r="P196" i="17" s="1"/>
  <c r="J196" i="17"/>
  <c r="M195" i="17"/>
  <c r="R195" i="17" s="1"/>
  <c r="L195" i="17"/>
  <c r="Q195" i="17" s="1"/>
  <c r="K195" i="17"/>
  <c r="P195" i="17" s="1"/>
  <c r="J195" i="17"/>
  <c r="O195" i="17" s="1"/>
  <c r="M194" i="17"/>
  <c r="R194" i="17" s="1"/>
  <c r="L194" i="17"/>
  <c r="Q194" i="17" s="1"/>
  <c r="K194" i="17"/>
  <c r="P194" i="17" s="1"/>
  <c r="J194" i="17"/>
  <c r="M193" i="17"/>
  <c r="R193" i="17" s="1"/>
  <c r="L193" i="17"/>
  <c r="Q193" i="17" s="1"/>
  <c r="K193" i="17"/>
  <c r="P193" i="17" s="1"/>
  <c r="J193" i="17"/>
  <c r="M192" i="17"/>
  <c r="R192" i="17" s="1"/>
  <c r="L192" i="17"/>
  <c r="Q192" i="17" s="1"/>
  <c r="K192" i="17"/>
  <c r="P192" i="17" s="1"/>
  <c r="J192" i="17"/>
  <c r="M191" i="17"/>
  <c r="L191" i="17"/>
  <c r="Q191" i="17" s="1"/>
  <c r="K191" i="17"/>
  <c r="P191" i="17" s="1"/>
  <c r="J191" i="17"/>
  <c r="O191" i="17" s="1"/>
  <c r="M190" i="17"/>
  <c r="R190" i="17" s="1"/>
  <c r="L190" i="17"/>
  <c r="Q190" i="17" s="1"/>
  <c r="K190" i="17"/>
  <c r="P190" i="17" s="1"/>
  <c r="J190" i="17"/>
  <c r="O190" i="17" s="1"/>
  <c r="M189" i="17"/>
  <c r="R189" i="17" s="1"/>
  <c r="L189" i="17"/>
  <c r="Q189" i="17" s="1"/>
  <c r="K189" i="17"/>
  <c r="J189" i="17"/>
  <c r="O189" i="17" s="1"/>
  <c r="M188" i="17"/>
  <c r="R188" i="17" s="1"/>
  <c r="L188" i="17"/>
  <c r="Q188" i="17" s="1"/>
  <c r="K188" i="17"/>
  <c r="P188" i="17" s="1"/>
  <c r="J188" i="17"/>
  <c r="M187" i="17"/>
  <c r="R187" i="17" s="1"/>
  <c r="L187" i="17"/>
  <c r="Q187" i="17" s="1"/>
  <c r="K187" i="17"/>
  <c r="P187" i="17" s="1"/>
  <c r="J187" i="17"/>
  <c r="O187" i="17" s="1"/>
  <c r="M186" i="17"/>
  <c r="R186" i="17" s="1"/>
  <c r="L186" i="17"/>
  <c r="Q186" i="17" s="1"/>
  <c r="K186" i="17"/>
  <c r="P186" i="17" s="1"/>
  <c r="J186" i="17"/>
  <c r="M185" i="17"/>
  <c r="R185" i="17" s="1"/>
  <c r="L185" i="17"/>
  <c r="Q185" i="17" s="1"/>
  <c r="K185" i="17"/>
  <c r="P185" i="17" s="1"/>
  <c r="J185" i="17"/>
  <c r="M184" i="17"/>
  <c r="R184" i="17" s="1"/>
  <c r="L184" i="17"/>
  <c r="Q184" i="17" s="1"/>
  <c r="K184" i="17"/>
  <c r="P184" i="17" s="1"/>
  <c r="J184" i="17"/>
  <c r="M183" i="17"/>
  <c r="L183" i="17"/>
  <c r="Q183" i="17" s="1"/>
  <c r="K183" i="17"/>
  <c r="P183" i="17" s="1"/>
  <c r="J183" i="17"/>
  <c r="O183" i="17" s="1"/>
  <c r="M182" i="17"/>
  <c r="R182" i="17" s="1"/>
  <c r="L182" i="17"/>
  <c r="Q182" i="17" s="1"/>
  <c r="K182" i="17"/>
  <c r="J182" i="17"/>
  <c r="O182" i="17" s="1"/>
  <c r="M181" i="17"/>
  <c r="R181" i="17" s="1"/>
  <c r="L181" i="17"/>
  <c r="Q181" i="17" s="1"/>
  <c r="K181" i="17"/>
  <c r="J181" i="17"/>
  <c r="O181" i="17" s="1"/>
  <c r="M180" i="17"/>
  <c r="R180" i="17" s="1"/>
  <c r="L180" i="17"/>
  <c r="Q180" i="17" s="1"/>
  <c r="K180" i="17"/>
  <c r="P180" i="17" s="1"/>
  <c r="J180" i="17"/>
  <c r="M179" i="17"/>
  <c r="R179" i="17" s="1"/>
  <c r="L179" i="17"/>
  <c r="Q179" i="17" s="1"/>
  <c r="K179" i="17"/>
  <c r="P179" i="17" s="1"/>
  <c r="J179" i="17"/>
  <c r="O179" i="17" s="1"/>
  <c r="M178" i="17"/>
  <c r="R178" i="17" s="1"/>
  <c r="L178" i="17"/>
  <c r="Q178" i="17" s="1"/>
  <c r="K178" i="17"/>
  <c r="P178" i="17" s="1"/>
  <c r="J178" i="17"/>
  <c r="M177" i="17"/>
  <c r="R177" i="17" s="1"/>
  <c r="L177" i="17"/>
  <c r="Q177" i="17" s="1"/>
  <c r="K177" i="17"/>
  <c r="P177" i="17" s="1"/>
  <c r="J177" i="17"/>
  <c r="O177" i="17" s="1"/>
  <c r="M176" i="17"/>
  <c r="R176" i="17" s="1"/>
  <c r="L176" i="17"/>
  <c r="Q176" i="17" s="1"/>
  <c r="K176" i="17"/>
  <c r="P176" i="17" s="1"/>
  <c r="J176" i="17"/>
  <c r="M175" i="17"/>
  <c r="L175" i="17"/>
  <c r="Q175" i="17" s="1"/>
  <c r="K175" i="17"/>
  <c r="P175" i="17" s="1"/>
  <c r="J175" i="17"/>
  <c r="O175" i="17" s="1"/>
  <c r="M174" i="17"/>
  <c r="R174" i="17" s="1"/>
  <c r="L174" i="17"/>
  <c r="Q174" i="17" s="1"/>
  <c r="K174" i="17"/>
  <c r="P174" i="17" s="1"/>
  <c r="J174" i="17"/>
  <c r="O174" i="17" s="1"/>
  <c r="M173" i="17"/>
  <c r="R173" i="17" s="1"/>
  <c r="L173" i="17"/>
  <c r="Q173" i="17" s="1"/>
  <c r="K173" i="17"/>
  <c r="J173" i="17"/>
  <c r="O173" i="17" s="1"/>
  <c r="M172" i="17"/>
  <c r="R172" i="17" s="1"/>
  <c r="L172" i="17"/>
  <c r="Q172" i="17" s="1"/>
  <c r="K172" i="17"/>
  <c r="P172" i="17" s="1"/>
  <c r="J172" i="17"/>
  <c r="M171" i="17"/>
  <c r="R171" i="17" s="1"/>
  <c r="L171" i="17"/>
  <c r="Q171" i="17" s="1"/>
  <c r="K171" i="17"/>
  <c r="P171" i="17" s="1"/>
  <c r="J171" i="17"/>
  <c r="M170" i="17"/>
  <c r="R170" i="17" s="1"/>
  <c r="L170" i="17"/>
  <c r="Q170" i="17" s="1"/>
  <c r="K170" i="17"/>
  <c r="P170" i="17" s="1"/>
  <c r="J170" i="17"/>
  <c r="M169" i="17"/>
  <c r="R169" i="17" s="1"/>
  <c r="L169" i="17"/>
  <c r="Q169" i="17" s="1"/>
  <c r="K169" i="17"/>
  <c r="P169" i="17" s="1"/>
  <c r="J169" i="17"/>
  <c r="M168" i="17"/>
  <c r="R168" i="17" s="1"/>
  <c r="L168" i="17"/>
  <c r="Q168" i="17" s="1"/>
  <c r="K168" i="17"/>
  <c r="P168" i="17" s="1"/>
  <c r="J168" i="17"/>
  <c r="M167" i="17"/>
  <c r="L167" i="17"/>
  <c r="Q167" i="17" s="1"/>
  <c r="K167" i="17"/>
  <c r="P167" i="17" s="1"/>
  <c r="J167" i="17"/>
  <c r="O167" i="17" s="1"/>
  <c r="M166" i="17"/>
  <c r="R166" i="17" s="1"/>
  <c r="L166" i="17"/>
  <c r="Q166" i="17" s="1"/>
  <c r="K166" i="17"/>
  <c r="P166" i="17" s="1"/>
  <c r="J166" i="17"/>
  <c r="O166" i="17" s="1"/>
  <c r="M165" i="17"/>
  <c r="R165" i="17" s="1"/>
  <c r="L165" i="17"/>
  <c r="Q165" i="17" s="1"/>
  <c r="K165" i="17"/>
  <c r="J165" i="17"/>
  <c r="O165" i="17" s="1"/>
  <c r="M164" i="17"/>
  <c r="R164" i="17" s="1"/>
  <c r="L164" i="17"/>
  <c r="Q164" i="17" s="1"/>
  <c r="K164" i="17"/>
  <c r="P164" i="17" s="1"/>
  <c r="J164" i="17"/>
  <c r="M163" i="17"/>
  <c r="R163" i="17" s="1"/>
  <c r="L163" i="17"/>
  <c r="Q163" i="17" s="1"/>
  <c r="K163" i="17"/>
  <c r="P163" i="17" s="1"/>
  <c r="J163" i="17"/>
  <c r="O163" i="17" s="1"/>
  <c r="M162" i="17"/>
  <c r="R162" i="17" s="1"/>
  <c r="L162" i="17"/>
  <c r="Q162" i="17" s="1"/>
  <c r="K162" i="17"/>
  <c r="P162" i="17" s="1"/>
  <c r="J162" i="17"/>
  <c r="M161" i="17"/>
  <c r="R161" i="17" s="1"/>
  <c r="L161" i="17"/>
  <c r="Q161" i="17" s="1"/>
  <c r="K161" i="17"/>
  <c r="P161" i="17" s="1"/>
  <c r="J161" i="17"/>
  <c r="M160" i="17"/>
  <c r="R160" i="17" s="1"/>
  <c r="L160" i="17"/>
  <c r="Q160" i="17" s="1"/>
  <c r="K160" i="17"/>
  <c r="P160" i="17" s="1"/>
  <c r="J160" i="17"/>
  <c r="M159" i="17"/>
  <c r="L159" i="17"/>
  <c r="Q159" i="17" s="1"/>
  <c r="K159" i="17"/>
  <c r="P159" i="17" s="1"/>
  <c r="J159" i="17"/>
  <c r="O159" i="17" s="1"/>
  <c r="M158" i="17"/>
  <c r="R158" i="17" s="1"/>
  <c r="L158" i="17"/>
  <c r="Q158" i="17" s="1"/>
  <c r="K158" i="17"/>
  <c r="J158" i="17"/>
  <c r="O158" i="17" s="1"/>
  <c r="M157" i="17"/>
  <c r="R157" i="17" s="1"/>
  <c r="L157" i="17"/>
  <c r="Q157" i="17" s="1"/>
  <c r="K157" i="17"/>
  <c r="J157" i="17"/>
  <c r="O157" i="17" s="1"/>
  <c r="M156" i="17"/>
  <c r="R156" i="17" s="1"/>
  <c r="L156" i="17"/>
  <c r="Q156" i="17" s="1"/>
  <c r="K156" i="17"/>
  <c r="P156" i="17" s="1"/>
  <c r="J156" i="17"/>
  <c r="M155" i="17"/>
  <c r="R155" i="17" s="1"/>
  <c r="L155" i="17"/>
  <c r="Q155" i="17" s="1"/>
  <c r="K155" i="17"/>
  <c r="P155" i="17" s="1"/>
  <c r="J155" i="17"/>
  <c r="O155" i="17" s="1"/>
  <c r="M154" i="17"/>
  <c r="R154" i="17" s="1"/>
  <c r="L154" i="17"/>
  <c r="Q154" i="17" s="1"/>
  <c r="K154" i="17"/>
  <c r="P154" i="17" s="1"/>
  <c r="J154" i="17"/>
  <c r="M153" i="17"/>
  <c r="R153" i="17" s="1"/>
  <c r="L153" i="17"/>
  <c r="Q153" i="17" s="1"/>
  <c r="K153" i="17"/>
  <c r="P153" i="17" s="1"/>
  <c r="J153" i="17"/>
  <c r="M152" i="17"/>
  <c r="R152" i="17" s="1"/>
  <c r="L152" i="17"/>
  <c r="Q152" i="17" s="1"/>
  <c r="K152" i="17"/>
  <c r="P152" i="17" s="1"/>
  <c r="J152" i="17"/>
  <c r="M151" i="17"/>
  <c r="L151" i="17"/>
  <c r="Q151" i="17" s="1"/>
  <c r="K151" i="17"/>
  <c r="P151" i="17" s="1"/>
  <c r="J151" i="17"/>
  <c r="O151" i="17" s="1"/>
  <c r="M150" i="17"/>
  <c r="R150" i="17" s="1"/>
  <c r="L150" i="17"/>
  <c r="K150" i="17"/>
  <c r="P150" i="17" s="1"/>
  <c r="J150" i="17"/>
  <c r="O150" i="17" s="1"/>
  <c r="M149" i="17"/>
  <c r="R149" i="17" s="1"/>
  <c r="L149" i="17"/>
  <c r="Q149" i="17" s="1"/>
  <c r="K149" i="17"/>
  <c r="J149" i="17"/>
  <c r="O149" i="17" s="1"/>
  <c r="M148" i="17"/>
  <c r="R148" i="17" s="1"/>
  <c r="L148" i="17"/>
  <c r="Q148" i="17" s="1"/>
  <c r="K148" i="17"/>
  <c r="P148" i="17" s="1"/>
  <c r="J148" i="17"/>
  <c r="M147" i="17"/>
  <c r="R147" i="17" s="1"/>
  <c r="L147" i="17"/>
  <c r="Q147" i="17" s="1"/>
  <c r="K147" i="17"/>
  <c r="P147" i="17" s="1"/>
  <c r="J147" i="17"/>
  <c r="O147" i="17" s="1"/>
  <c r="M146" i="17"/>
  <c r="R146" i="17" s="1"/>
  <c r="L146" i="17"/>
  <c r="Q146" i="17" s="1"/>
  <c r="K146" i="17"/>
  <c r="P146" i="17" s="1"/>
  <c r="J146" i="17"/>
  <c r="M145" i="17"/>
  <c r="R145" i="17" s="1"/>
  <c r="L145" i="17"/>
  <c r="Q145" i="17" s="1"/>
  <c r="K145" i="17"/>
  <c r="P145" i="17" s="1"/>
  <c r="J145" i="17"/>
  <c r="O145" i="17" s="1"/>
  <c r="M144" i="17"/>
  <c r="R144" i="17" s="1"/>
  <c r="L144" i="17"/>
  <c r="Q144" i="17" s="1"/>
  <c r="K144" i="17"/>
  <c r="P144" i="17" s="1"/>
  <c r="J144" i="17"/>
  <c r="M143" i="17"/>
  <c r="R143" i="17" s="1"/>
  <c r="L143" i="17"/>
  <c r="Q143" i="17" s="1"/>
  <c r="K143" i="17"/>
  <c r="P143" i="17" s="1"/>
  <c r="J143" i="17"/>
  <c r="O143" i="17" s="1"/>
  <c r="M142" i="17"/>
  <c r="R142" i="17" s="1"/>
  <c r="L142" i="17"/>
  <c r="Q142" i="17" s="1"/>
  <c r="K142" i="17"/>
  <c r="P142" i="17" s="1"/>
  <c r="J142" i="17"/>
  <c r="O142" i="17" s="1"/>
  <c r="M141" i="17"/>
  <c r="R141" i="17" s="1"/>
  <c r="L141" i="17"/>
  <c r="Q141" i="17" s="1"/>
  <c r="K141" i="17"/>
  <c r="J141" i="17"/>
  <c r="O141" i="17" s="1"/>
  <c r="M140" i="17"/>
  <c r="R140" i="17" s="1"/>
  <c r="L140" i="17"/>
  <c r="Q140" i="17" s="1"/>
  <c r="K140" i="17"/>
  <c r="P140" i="17" s="1"/>
  <c r="J140" i="17"/>
  <c r="M139" i="17"/>
  <c r="R139" i="17" s="1"/>
  <c r="L139" i="17"/>
  <c r="Q139" i="17" s="1"/>
  <c r="K139" i="17"/>
  <c r="P139" i="17" s="1"/>
  <c r="J139" i="17"/>
  <c r="O139" i="17" s="1"/>
  <c r="M138" i="17"/>
  <c r="R138" i="17" s="1"/>
  <c r="L138" i="17"/>
  <c r="Q138" i="17" s="1"/>
  <c r="K138" i="17"/>
  <c r="P138" i="17" s="1"/>
  <c r="J138" i="17"/>
  <c r="M137" i="17"/>
  <c r="R137" i="17" s="1"/>
  <c r="L137" i="17"/>
  <c r="Q137" i="17" s="1"/>
  <c r="K137" i="17"/>
  <c r="P137" i="17" s="1"/>
  <c r="J137" i="17"/>
  <c r="O137" i="17" s="1"/>
  <c r="M136" i="17"/>
  <c r="R136" i="17" s="1"/>
  <c r="L136" i="17"/>
  <c r="Q136" i="17" s="1"/>
  <c r="K136" i="17"/>
  <c r="P136" i="17" s="1"/>
  <c r="J136" i="17"/>
  <c r="M135" i="17"/>
  <c r="L135" i="17"/>
  <c r="Q135" i="17" s="1"/>
  <c r="K135" i="17"/>
  <c r="P135" i="17" s="1"/>
  <c r="J135" i="17"/>
  <c r="O135" i="17" s="1"/>
  <c r="M134" i="17"/>
  <c r="R134" i="17" s="1"/>
  <c r="L134" i="17"/>
  <c r="K134" i="17"/>
  <c r="P134" i="17" s="1"/>
  <c r="J134" i="17"/>
  <c r="O134" i="17" s="1"/>
  <c r="M133" i="17"/>
  <c r="R133" i="17" s="1"/>
  <c r="L133" i="17"/>
  <c r="Q133" i="17" s="1"/>
  <c r="K133" i="17"/>
  <c r="J133" i="17"/>
  <c r="O133" i="17" s="1"/>
  <c r="M132" i="17"/>
  <c r="R132" i="17" s="1"/>
  <c r="L132" i="17"/>
  <c r="Q132" i="17" s="1"/>
  <c r="K132" i="17"/>
  <c r="P132" i="17" s="1"/>
  <c r="J132" i="17"/>
  <c r="M131" i="17"/>
  <c r="R131" i="17" s="1"/>
  <c r="L131" i="17"/>
  <c r="Q131" i="17" s="1"/>
  <c r="K131" i="17"/>
  <c r="P131" i="17" s="1"/>
  <c r="J131" i="17"/>
  <c r="O131" i="17" s="1"/>
  <c r="M130" i="17"/>
  <c r="R130" i="17" s="1"/>
  <c r="L130" i="17"/>
  <c r="Q130" i="17" s="1"/>
  <c r="K130" i="17"/>
  <c r="P130" i="17" s="1"/>
  <c r="J130" i="17"/>
  <c r="M129" i="17"/>
  <c r="R129" i="17" s="1"/>
  <c r="L129" i="17"/>
  <c r="Q129" i="17" s="1"/>
  <c r="K129" i="17"/>
  <c r="J129" i="17"/>
  <c r="O129" i="17" s="1"/>
  <c r="M128" i="17"/>
  <c r="R128" i="17" s="1"/>
  <c r="L128" i="17"/>
  <c r="Q128" i="17" s="1"/>
  <c r="K128" i="17"/>
  <c r="P128" i="17" s="1"/>
  <c r="J128" i="17"/>
  <c r="M127" i="17"/>
  <c r="R127" i="17" s="1"/>
  <c r="L127" i="17"/>
  <c r="Q127" i="17" s="1"/>
  <c r="K127" i="17"/>
  <c r="P127" i="17" s="1"/>
  <c r="J127" i="17"/>
  <c r="O127" i="17" s="1"/>
  <c r="M126" i="17"/>
  <c r="R126" i="17" s="1"/>
  <c r="L126" i="17"/>
  <c r="Q126" i="17" s="1"/>
  <c r="K126" i="17"/>
  <c r="P126" i="17" s="1"/>
  <c r="J126" i="17"/>
  <c r="O126" i="17" s="1"/>
  <c r="M125" i="17"/>
  <c r="R125" i="17" s="1"/>
  <c r="L125" i="17"/>
  <c r="Q125" i="17" s="1"/>
  <c r="K125" i="17"/>
  <c r="J125" i="17"/>
  <c r="O125" i="17" s="1"/>
  <c r="M124" i="17"/>
  <c r="R124" i="17" s="1"/>
  <c r="L124" i="17"/>
  <c r="Q124" i="17" s="1"/>
  <c r="K124" i="17"/>
  <c r="P124" i="17" s="1"/>
  <c r="J124" i="17"/>
  <c r="M123" i="17"/>
  <c r="R123" i="17" s="1"/>
  <c r="L123" i="17"/>
  <c r="Q123" i="17" s="1"/>
  <c r="K123" i="17"/>
  <c r="P123" i="17" s="1"/>
  <c r="J123" i="17"/>
  <c r="O123" i="17" s="1"/>
  <c r="M122" i="17"/>
  <c r="R122" i="17" s="1"/>
  <c r="L122" i="17"/>
  <c r="Q122" i="17" s="1"/>
  <c r="K122" i="17"/>
  <c r="P122" i="17" s="1"/>
  <c r="J122" i="17"/>
  <c r="M121" i="17"/>
  <c r="R121" i="17" s="1"/>
  <c r="L121" i="17"/>
  <c r="Q121" i="17" s="1"/>
  <c r="K121" i="17"/>
  <c r="J121" i="17"/>
  <c r="O121" i="17" s="1"/>
  <c r="M120" i="17"/>
  <c r="R120" i="17" s="1"/>
  <c r="L120" i="17"/>
  <c r="Q120" i="17" s="1"/>
  <c r="K120" i="17"/>
  <c r="P120" i="17" s="1"/>
  <c r="J120" i="17"/>
  <c r="M119" i="17"/>
  <c r="R119" i="17" s="1"/>
  <c r="L119" i="17"/>
  <c r="Q119" i="17" s="1"/>
  <c r="K119" i="17"/>
  <c r="P119" i="17" s="1"/>
  <c r="J119" i="17"/>
  <c r="O119" i="17" s="1"/>
  <c r="M118" i="17"/>
  <c r="R118" i="17" s="1"/>
  <c r="L118" i="17"/>
  <c r="Q118" i="17" s="1"/>
  <c r="K118" i="17"/>
  <c r="J118" i="17"/>
  <c r="O118" i="17" s="1"/>
  <c r="M117" i="17"/>
  <c r="R117" i="17" s="1"/>
  <c r="L117" i="17"/>
  <c r="Q117" i="17" s="1"/>
  <c r="K117" i="17"/>
  <c r="P117" i="17" s="1"/>
  <c r="J117" i="17"/>
  <c r="O117" i="17" s="1"/>
  <c r="M116" i="17"/>
  <c r="R116" i="17" s="1"/>
  <c r="L116" i="17"/>
  <c r="Q116" i="17" s="1"/>
  <c r="K116" i="17"/>
  <c r="P116" i="17" s="1"/>
  <c r="J116" i="17"/>
  <c r="M115" i="17"/>
  <c r="R115" i="17" s="1"/>
  <c r="L115" i="17"/>
  <c r="Q115" i="17" s="1"/>
  <c r="K115" i="17"/>
  <c r="P115" i="17" s="1"/>
  <c r="J115" i="17"/>
  <c r="O115" i="17" s="1"/>
  <c r="M114" i="17"/>
  <c r="R114" i="17" s="1"/>
  <c r="L114" i="17"/>
  <c r="Q114" i="17" s="1"/>
  <c r="K114" i="17"/>
  <c r="P114" i="17" s="1"/>
  <c r="J114" i="17"/>
  <c r="O114" i="17" s="1"/>
  <c r="M113" i="17"/>
  <c r="R113" i="17" s="1"/>
  <c r="L113" i="17"/>
  <c r="Q113" i="17" s="1"/>
  <c r="K113" i="17"/>
  <c r="P113" i="17" s="1"/>
  <c r="J113" i="17"/>
  <c r="M112" i="17"/>
  <c r="R112" i="17" s="1"/>
  <c r="L112" i="17"/>
  <c r="Q112" i="17" s="1"/>
  <c r="K112" i="17"/>
  <c r="P112" i="17" s="1"/>
  <c r="J112" i="17"/>
  <c r="O112" i="17" s="1"/>
  <c r="M111" i="17"/>
  <c r="R111" i="17" s="1"/>
  <c r="L111" i="17"/>
  <c r="Q111" i="17" s="1"/>
  <c r="K111" i="17"/>
  <c r="P111" i="17" s="1"/>
  <c r="J111" i="17"/>
  <c r="M110" i="17"/>
  <c r="R110" i="17" s="1"/>
  <c r="L110" i="17"/>
  <c r="Q110" i="17" s="1"/>
  <c r="K110" i="17"/>
  <c r="P110" i="17" s="1"/>
  <c r="J110" i="17"/>
  <c r="O110" i="17" s="1"/>
  <c r="M109" i="17"/>
  <c r="R109" i="17" s="1"/>
  <c r="L109" i="17"/>
  <c r="Q109" i="17" s="1"/>
  <c r="K109" i="17"/>
  <c r="P109" i="17" s="1"/>
  <c r="J109" i="17"/>
  <c r="O109" i="17" s="1"/>
  <c r="M108" i="17"/>
  <c r="R108" i="17" s="1"/>
  <c r="L108" i="17"/>
  <c r="Q108" i="17" s="1"/>
  <c r="K108" i="17"/>
  <c r="J108" i="17"/>
  <c r="O108" i="17" s="1"/>
  <c r="M107" i="17"/>
  <c r="R107" i="17" s="1"/>
  <c r="L107" i="17"/>
  <c r="Q107" i="17" s="1"/>
  <c r="K107" i="17"/>
  <c r="P107" i="17" s="1"/>
  <c r="J107" i="17"/>
  <c r="O107" i="17" s="1"/>
  <c r="M106" i="17"/>
  <c r="R106" i="17" s="1"/>
  <c r="L106" i="17"/>
  <c r="Q106" i="17" s="1"/>
  <c r="K106" i="17"/>
  <c r="P106" i="17" s="1"/>
  <c r="J106" i="17"/>
  <c r="O106" i="17" s="1"/>
  <c r="M105" i="17"/>
  <c r="R105" i="17" s="1"/>
  <c r="L105" i="17"/>
  <c r="Q105" i="17" s="1"/>
  <c r="K105" i="17"/>
  <c r="P105" i="17" s="1"/>
  <c r="J105" i="17"/>
  <c r="M104" i="17"/>
  <c r="R104" i="17" s="1"/>
  <c r="L104" i="17"/>
  <c r="Q104" i="17" s="1"/>
  <c r="K104" i="17"/>
  <c r="P104" i="17" s="1"/>
  <c r="J104" i="17"/>
  <c r="O104" i="17" s="1"/>
  <c r="M103" i="17"/>
  <c r="R103" i="17" s="1"/>
  <c r="L103" i="17"/>
  <c r="Q103" i="17" s="1"/>
  <c r="K103" i="17"/>
  <c r="P103" i="17" s="1"/>
  <c r="J103" i="17"/>
  <c r="M102" i="17"/>
  <c r="R102" i="17" s="1"/>
  <c r="L102" i="17"/>
  <c r="Q102" i="17" s="1"/>
  <c r="K102" i="17"/>
  <c r="P102" i="17" s="1"/>
  <c r="J102" i="17"/>
  <c r="M101" i="17"/>
  <c r="R101" i="17" s="1"/>
  <c r="L101" i="17"/>
  <c r="Q101" i="17" s="1"/>
  <c r="K101" i="17"/>
  <c r="P101" i="17" s="1"/>
  <c r="J101" i="17"/>
  <c r="O101" i="17" s="1"/>
  <c r="M100" i="17"/>
  <c r="R100" i="17" s="1"/>
  <c r="L100" i="17"/>
  <c r="Q100" i="17" s="1"/>
  <c r="K100" i="17"/>
  <c r="J100" i="17"/>
  <c r="O100" i="17" s="1"/>
  <c r="M99" i="17"/>
  <c r="R99" i="17" s="1"/>
  <c r="L99" i="17"/>
  <c r="Q99" i="17" s="1"/>
  <c r="K99" i="17"/>
  <c r="P99" i="17" s="1"/>
  <c r="J99" i="17"/>
  <c r="O99" i="17" s="1"/>
  <c r="M98" i="17"/>
  <c r="R98" i="17" s="1"/>
  <c r="L98" i="17"/>
  <c r="Q98" i="17" s="1"/>
  <c r="K98" i="17"/>
  <c r="P98" i="17" s="1"/>
  <c r="J98" i="17"/>
  <c r="M97" i="17"/>
  <c r="R97" i="17" s="1"/>
  <c r="L97" i="17"/>
  <c r="Q97" i="17" s="1"/>
  <c r="K97" i="17"/>
  <c r="P97" i="17" s="1"/>
  <c r="J97" i="17"/>
  <c r="M96" i="17"/>
  <c r="R96" i="17" s="1"/>
  <c r="L96" i="17"/>
  <c r="Q96" i="17" s="1"/>
  <c r="K96" i="17"/>
  <c r="P96" i="17" s="1"/>
  <c r="J96" i="17"/>
  <c r="O96" i="17" s="1"/>
  <c r="M95" i="17"/>
  <c r="R95" i="17" s="1"/>
  <c r="L95" i="17"/>
  <c r="Q95" i="17" s="1"/>
  <c r="K95" i="17"/>
  <c r="P95" i="17" s="1"/>
  <c r="J95" i="17"/>
  <c r="M94" i="17"/>
  <c r="R94" i="17" s="1"/>
  <c r="L94" i="17"/>
  <c r="Q94" i="17" s="1"/>
  <c r="K94" i="17"/>
  <c r="P94" i="17" s="1"/>
  <c r="J94" i="17"/>
  <c r="M93" i="17"/>
  <c r="R93" i="17" s="1"/>
  <c r="L93" i="17"/>
  <c r="Q93" i="17" s="1"/>
  <c r="K93" i="17"/>
  <c r="P93" i="17" s="1"/>
  <c r="J93" i="17"/>
  <c r="O93" i="17" s="1"/>
  <c r="M92" i="17"/>
  <c r="R92" i="17" s="1"/>
  <c r="L92" i="17"/>
  <c r="Q92" i="17" s="1"/>
  <c r="K92" i="17"/>
  <c r="J92" i="17"/>
  <c r="O92" i="17" s="1"/>
  <c r="M91" i="17"/>
  <c r="R91" i="17" s="1"/>
  <c r="L91" i="17"/>
  <c r="Q91" i="17" s="1"/>
  <c r="K91" i="17"/>
  <c r="P91" i="17" s="1"/>
  <c r="J91" i="17"/>
  <c r="O91" i="17" s="1"/>
  <c r="M90" i="17"/>
  <c r="R90" i="17" s="1"/>
  <c r="L90" i="17"/>
  <c r="Q90" i="17" s="1"/>
  <c r="K90" i="17"/>
  <c r="P90" i="17" s="1"/>
  <c r="J90" i="17"/>
  <c r="O90" i="17" s="1"/>
  <c r="M89" i="17"/>
  <c r="R89" i="17" s="1"/>
  <c r="L89" i="17"/>
  <c r="Q89" i="17" s="1"/>
  <c r="K89" i="17"/>
  <c r="P89" i="17" s="1"/>
  <c r="J89" i="17"/>
  <c r="M88" i="17"/>
  <c r="R88" i="17" s="1"/>
  <c r="L88" i="17"/>
  <c r="Q88" i="17" s="1"/>
  <c r="K88" i="17"/>
  <c r="P88" i="17" s="1"/>
  <c r="J88" i="17"/>
  <c r="O88" i="17" s="1"/>
  <c r="M87" i="17"/>
  <c r="R87" i="17" s="1"/>
  <c r="L87" i="17"/>
  <c r="Q87" i="17" s="1"/>
  <c r="K87" i="17"/>
  <c r="P87" i="17" s="1"/>
  <c r="J87" i="17"/>
  <c r="M86" i="17"/>
  <c r="R86" i="17" s="1"/>
  <c r="L86" i="17"/>
  <c r="Q86" i="17" s="1"/>
  <c r="K86" i="17"/>
  <c r="P86" i="17" s="1"/>
  <c r="J86" i="17"/>
  <c r="O86" i="17" s="1"/>
  <c r="M85" i="17"/>
  <c r="R85" i="17" s="1"/>
  <c r="L85" i="17"/>
  <c r="Q85" i="17" s="1"/>
  <c r="K85" i="17"/>
  <c r="P85" i="17" s="1"/>
  <c r="J85" i="17"/>
  <c r="O85" i="17" s="1"/>
  <c r="M84" i="17"/>
  <c r="R84" i="17" s="1"/>
  <c r="L84" i="17"/>
  <c r="Q84" i="17" s="1"/>
  <c r="K84" i="17"/>
  <c r="J84" i="17"/>
  <c r="O84" i="17" s="1"/>
  <c r="M83" i="17"/>
  <c r="R83" i="17" s="1"/>
  <c r="L83" i="17"/>
  <c r="Q83" i="17" s="1"/>
  <c r="K83" i="17"/>
  <c r="P83" i="17" s="1"/>
  <c r="J83" i="17"/>
  <c r="M82" i="17"/>
  <c r="R82" i="17" s="1"/>
  <c r="L82" i="17"/>
  <c r="Q82" i="17" s="1"/>
  <c r="K82" i="17"/>
  <c r="P82" i="17" s="1"/>
  <c r="J82" i="17"/>
  <c r="O82" i="17" s="1"/>
  <c r="M81" i="17"/>
  <c r="R81" i="17" s="1"/>
  <c r="L81" i="17"/>
  <c r="Q81" i="17" s="1"/>
  <c r="K81" i="17"/>
  <c r="P81" i="17" s="1"/>
  <c r="J81" i="17"/>
  <c r="M80" i="17"/>
  <c r="R80" i="17" s="1"/>
  <c r="L80" i="17"/>
  <c r="Q80" i="17" s="1"/>
  <c r="K80" i="17"/>
  <c r="P80" i="17" s="1"/>
  <c r="J80" i="17"/>
  <c r="O80" i="17" s="1"/>
  <c r="M79" i="17"/>
  <c r="R79" i="17" s="1"/>
  <c r="L79" i="17"/>
  <c r="Q79" i="17" s="1"/>
  <c r="K79" i="17"/>
  <c r="P79" i="17" s="1"/>
  <c r="J79" i="17"/>
  <c r="M78" i="17"/>
  <c r="R78" i="17" s="1"/>
  <c r="L78" i="17"/>
  <c r="Q78" i="17" s="1"/>
  <c r="K78" i="17"/>
  <c r="P78" i="17" s="1"/>
  <c r="J78" i="17"/>
  <c r="O78" i="17" s="1"/>
  <c r="M77" i="17"/>
  <c r="R77" i="17" s="1"/>
  <c r="L77" i="17"/>
  <c r="Q77" i="17" s="1"/>
  <c r="K77" i="17"/>
  <c r="P77" i="17" s="1"/>
  <c r="J77" i="17"/>
  <c r="O77" i="17" s="1"/>
  <c r="M76" i="17"/>
  <c r="R76" i="17" s="1"/>
  <c r="L76" i="17"/>
  <c r="Q76" i="17" s="1"/>
  <c r="K76" i="17"/>
  <c r="J76" i="17"/>
  <c r="O76" i="17" s="1"/>
  <c r="M75" i="17"/>
  <c r="R75" i="17" s="1"/>
  <c r="L75" i="17"/>
  <c r="Q75" i="17" s="1"/>
  <c r="K75" i="17"/>
  <c r="P75" i="17" s="1"/>
  <c r="J75" i="17"/>
  <c r="M74" i="17"/>
  <c r="R74" i="17" s="1"/>
  <c r="L74" i="17"/>
  <c r="K74" i="17"/>
  <c r="P74" i="17" s="1"/>
  <c r="J74" i="17"/>
  <c r="O74" i="17" s="1"/>
  <c r="M73" i="17"/>
  <c r="R73" i="17" s="1"/>
  <c r="L73" i="17"/>
  <c r="Q73" i="17" s="1"/>
  <c r="K73" i="17"/>
  <c r="P73" i="17" s="1"/>
  <c r="J73" i="17"/>
  <c r="M72" i="17"/>
  <c r="R72" i="17" s="1"/>
  <c r="L72" i="17"/>
  <c r="Q72" i="17" s="1"/>
  <c r="K72" i="17"/>
  <c r="P72" i="17" s="1"/>
  <c r="J72" i="17"/>
  <c r="O72" i="17" s="1"/>
  <c r="M71" i="17"/>
  <c r="R71" i="17" s="1"/>
  <c r="L71" i="17"/>
  <c r="Q71" i="17" s="1"/>
  <c r="K71" i="17"/>
  <c r="P71" i="17" s="1"/>
  <c r="J71" i="17"/>
  <c r="M70" i="17"/>
  <c r="R70" i="17" s="1"/>
  <c r="L70" i="17"/>
  <c r="Q70" i="17" s="1"/>
  <c r="K70" i="17"/>
  <c r="P70" i="17" s="1"/>
  <c r="J70" i="17"/>
  <c r="M69" i="17"/>
  <c r="R69" i="17" s="1"/>
  <c r="L69" i="17"/>
  <c r="Q69" i="17" s="1"/>
  <c r="K69" i="17"/>
  <c r="J69" i="17"/>
  <c r="O69" i="17" s="1"/>
  <c r="M68" i="17"/>
  <c r="R68" i="17" s="1"/>
  <c r="L68" i="17"/>
  <c r="Q68" i="17" s="1"/>
  <c r="K68" i="17"/>
  <c r="J68" i="17"/>
  <c r="O68" i="17" s="1"/>
  <c r="M67" i="17"/>
  <c r="R67" i="17" s="1"/>
  <c r="L67" i="17"/>
  <c r="Q67" i="17" s="1"/>
  <c r="K67" i="17"/>
  <c r="P67" i="17" s="1"/>
  <c r="J67" i="17"/>
  <c r="O67" i="17" s="1"/>
  <c r="M66" i="17"/>
  <c r="R66" i="17" s="1"/>
  <c r="L66" i="17"/>
  <c r="Q66" i="17" s="1"/>
  <c r="K66" i="17"/>
  <c r="P66" i="17" s="1"/>
  <c r="J66" i="17"/>
  <c r="M65" i="17"/>
  <c r="R65" i="17" s="1"/>
  <c r="L65" i="17"/>
  <c r="Q65" i="17" s="1"/>
  <c r="K65" i="17"/>
  <c r="P65" i="17" s="1"/>
  <c r="J65" i="17"/>
  <c r="M64" i="17"/>
  <c r="R64" i="17" s="1"/>
  <c r="L64" i="17"/>
  <c r="Q64" i="17" s="1"/>
  <c r="K64" i="17"/>
  <c r="P64" i="17" s="1"/>
  <c r="J64" i="17"/>
  <c r="O64" i="17" s="1"/>
  <c r="M63" i="17"/>
  <c r="R63" i="17" s="1"/>
  <c r="L63" i="17"/>
  <c r="Q63" i="17" s="1"/>
  <c r="K63" i="17"/>
  <c r="P63" i="17" s="1"/>
  <c r="J63" i="17"/>
  <c r="M62" i="17"/>
  <c r="R62" i="17" s="1"/>
  <c r="L62" i="17"/>
  <c r="Q62" i="17" s="1"/>
  <c r="K62" i="17"/>
  <c r="P62" i="17" s="1"/>
  <c r="J62" i="17"/>
  <c r="M61" i="17"/>
  <c r="R61" i="17" s="1"/>
  <c r="L61" i="17"/>
  <c r="Q61" i="17" s="1"/>
  <c r="K61" i="17"/>
  <c r="P61" i="17" s="1"/>
  <c r="J61" i="17"/>
  <c r="O61" i="17" s="1"/>
  <c r="M60" i="17"/>
  <c r="R60" i="17" s="1"/>
  <c r="L60" i="17"/>
  <c r="Q60" i="17" s="1"/>
  <c r="K60" i="17"/>
  <c r="J60" i="17"/>
  <c r="O60" i="17" s="1"/>
  <c r="M59" i="17"/>
  <c r="R59" i="17" s="1"/>
  <c r="L59" i="17"/>
  <c r="Q59" i="17" s="1"/>
  <c r="K59" i="17"/>
  <c r="P59" i="17" s="1"/>
  <c r="J59" i="17"/>
  <c r="M58" i="17"/>
  <c r="R58" i="17" s="1"/>
  <c r="L58" i="17"/>
  <c r="Q58" i="17" s="1"/>
  <c r="K58" i="17"/>
  <c r="P58" i="17" s="1"/>
  <c r="J58" i="17"/>
  <c r="O58" i="17" s="1"/>
  <c r="M57" i="17"/>
  <c r="R57" i="17" s="1"/>
  <c r="L57" i="17"/>
  <c r="Q57" i="17" s="1"/>
  <c r="K57" i="17"/>
  <c r="P57" i="17" s="1"/>
  <c r="J57" i="17"/>
  <c r="M56" i="17"/>
  <c r="R56" i="17" s="1"/>
  <c r="L56" i="17"/>
  <c r="Q56" i="17" s="1"/>
  <c r="K56" i="17"/>
  <c r="P56" i="17" s="1"/>
  <c r="J56" i="17"/>
  <c r="O56" i="17" s="1"/>
  <c r="M55" i="17"/>
  <c r="R55" i="17" s="1"/>
  <c r="L55" i="17"/>
  <c r="Q55" i="17" s="1"/>
  <c r="K55" i="17"/>
  <c r="P55" i="17" s="1"/>
  <c r="J55" i="17"/>
  <c r="M54" i="17"/>
  <c r="R54" i="17" s="1"/>
  <c r="L54" i="17"/>
  <c r="Q54" i="17" s="1"/>
  <c r="K54" i="17"/>
  <c r="P54" i="17" s="1"/>
  <c r="J54" i="17"/>
  <c r="O54" i="17" s="1"/>
  <c r="M53" i="17"/>
  <c r="R53" i="17" s="1"/>
  <c r="L53" i="17"/>
  <c r="Q53" i="17" s="1"/>
  <c r="K53" i="17"/>
  <c r="P53" i="17" s="1"/>
  <c r="J53" i="17"/>
  <c r="O53" i="17" s="1"/>
  <c r="M52" i="17"/>
  <c r="R52" i="17" s="1"/>
  <c r="L52" i="17"/>
  <c r="Q52" i="17" s="1"/>
  <c r="K52" i="17"/>
  <c r="J52" i="17"/>
  <c r="O52" i="17" s="1"/>
  <c r="M51" i="17"/>
  <c r="R51" i="17" s="1"/>
  <c r="L51" i="17"/>
  <c r="Q51" i="17" s="1"/>
  <c r="K51" i="17"/>
  <c r="J51" i="17"/>
  <c r="O51" i="17" s="1"/>
  <c r="M50" i="17"/>
  <c r="R50" i="17" s="1"/>
  <c r="L50" i="17"/>
  <c r="Q50" i="17" s="1"/>
  <c r="K50" i="17"/>
  <c r="P50" i="17" s="1"/>
  <c r="J50" i="17"/>
  <c r="O50" i="17" s="1"/>
  <c r="M49" i="17"/>
  <c r="R49" i="17" s="1"/>
  <c r="L49" i="17"/>
  <c r="Q49" i="17" s="1"/>
  <c r="K49" i="17"/>
  <c r="P49" i="17" s="1"/>
  <c r="J49" i="17"/>
  <c r="M48" i="17"/>
  <c r="R48" i="17" s="1"/>
  <c r="L48" i="17"/>
  <c r="Q48" i="17" s="1"/>
  <c r="K48" i="17"/>
  <c r="P48" i="17" s="1"/>
  <c r="J48" i="17"/>
  <c r="O48" i="17" s="1"/>
  <c r="M47" i="17"/>
  <c r="R47" i="17" s="1"/>
  <c r="L47" i="17"/>
  <c r="Q47" i="17" s="1"/>
  <c r="K47" i="17"/>
  <c r="P47" i="17" s="1"/>
  <c r="J47" i="17"/>
  <c r="M46" i="17"/>
  <c r="R46" i="17" s="1"/>
  <c r="L46" i="17"/>
  <c r="Q46" i="17" s="1"/>
  <c r="K46" i="17"/>
  <c r="P46" i="17" s="1"/>
  <c r="J46" i="17"/>
  <c r="O46" i="17" s="1"/>
  <c r="M45" i="17"/>
  <c r="R45" i="17" s="1"/>
  <c r="L45" i="17"/>
  <c r="Q45" i="17" s="1"/>
  <c r="K45" i="17"/>
  <c r="J45" i="17"/>
  <c r="O45" i="17" s="1"/>
  <c r="M44" i="17"/>
  <c r="R44" i="17" s="1"/>
  <c r="L44" i="17"/>
  <c r="Q44" i="17" s="1"/>
  <c r="K44" i="17"/>
  <c r="J44" i="17"/>
  <c r="O44" i="17" s="1"/>
  <c r="M43" i="17"/>
  <c r="R43" i="17" s="1"/>
  <c r="L43" i="17"/>
  <c r="Q43" i="17" s="1"/>
  <c r="K43" i="17"/>
  <c r="P43" i="17" s="1"/>
  <c r="J43" i="17"/>
  <c r="M42" i="17"/>
  <c r="R42" i="17" s="1"/>
  <c r="L42" i="17"/>
  <c r="Q42" i="17" s="1"/>
  <c r="K42" i="17"/>
  <c r="P42" i="17" s="1"/>
  <c r="J42" i="17"/>
  <c r="O42" i="17" s="1"/>
  <c r="M41" i="17"/>
  <c r="R41" i="17" s="1"/>
  <c r="L41" i="17"/>
  <c r="Q41" i="17" s="1"/>
  <c r="K41" i="17"/>
  <c r="P41" i="17" s="1"/>
  <c r="J41" i="17"/>
  <c r="M40" i="17"/>
  <c r="R40" i="17" s="1"/>
  <c r="L40" i="17"/>
  <c r="Q40" i="17" s="1"/>
  <c r="K40" i="17"/>
  <c r="P40" i="17" s="1"/>
  <c r="J40" i="17"/>
  <c r="O40" i="17" s="1"/>
  <c r="M39" i="17"/>
  <c r="R39" i="17" s="1"/>
  <c r="L39" i="17"/>
  <c r="Q39" i="17" s="1"/>
  <c r="K39" i="17"/>
  <c r="P39" i="17" s="1"/>
  <c r="J39" i="17"/>
  <c r="M38" i="17"/>
  <c r="R38" i="17" s="1"/>
  <c r="L38" i="17"/>
  <c r="Q38" i="17" s="1"/>
  <c r="K38" i="17"/>
  <c r="P38" i="17" s="1"/>
  <c r="J38" i="17"/>
  <c r="O38" i="17" s="1"/>
  <c r="M37" i="17"/>
  <c r="R37" i="17" s="1"/>
  <c r="L37" i="17"/>
  <c r="Q37" i="17" s="1"/>
  <c r="K37" i="17"/>
  <c r="P37" i="17" s="1"/>
  <c r="J37" i="17"/>
  <c r="O37" i="17" s="1"/>
  <c r="M36" i="17"/>
  <c r="R36" i="17" s="1"/>
  <c r="L36" i="17"/>
  <c r="Q36" i="17" s="1"/>
  <c r="K36" i="17"/>
  <c r="J36" i="17"/>
  <c r="O36" i="17" s="1"/>
  <c r="M35" i="17"/>
  <c r="R35" i="17" s="1"/>
  <c r="L35" i="17"/>
  <c r="Q35" i="17" s="1"/>
  <c r="K35" i="17"/>
  <c r="P35" i="17" s="1"/>
  <c r="J35" i="17"/>
  <c r="M34" i="17"/>
  <c r="R34" i="17" s="1"/>
  <c r="L34" i="17"/>
  <c r="Q34" i="17" s="1"/>
  <c r="K34" i="17"/>
  <c r="P34" i="17" s="1"/>
  <c r="J34" i="17"/>
  <c r="M33" i="17"/>
  <c r="R33" i="17" s="1"/>
  <c r="L33" i="17"/>
  <c r="Q33" i="17" s="1"/>
  <c r="K33" i="17"/>
  <c r="P33" i="17" s="1"/>
  <c r="J33" i="17"/>
  <c r="M32" i="17"/>
  <c r="R32" i="17" s="1"/>
  <c r="L32" i="17"/>
  <c r="Q32" i="17" s="1"/>
  <c r="K32" i="17"/>
  <c r="P32" i="17" s="1"/>
  <c r="J32" i="17"/>
  <c r="O32" i="17" s="1"/>
  <c r="M31" i="17"/>
  <c r="R31" i="17" s="1"/>
  <c r="L31" i="17"/>
  <c r="Q31" i="17" s="1"/>
  <c r="K31" i="17"/>
  <c r="P31" i="17" s="1"/>
  <c r="J31" i="17"/>
  <c r="M30" i="17"/>
  <c r="R30" i="17" s="1"/>
  <c r="L30" i="17"/>
  <c r="Q30" i="17" s="1"/>
  <c r="K30" i="17"/>
  <c r="P30" i="17" s="1"/>
  <c r="J30" i="17"/>
  <c r="M29" i="17"/>
  <c r="R29" i="17" s="1"/>
  <c r="L29" i="17"/>
  <c r="Q29" i="17" s="1"/>
  <c r="K29" i="17"/>
  <c r="P29" i="17" s="1"/>
  <c r="J29" i="17"/>
  <c r="O29" i="17" s="1"/>
  <c r="M28" i="17"/>
  <c r="R28" i="17" s="1"/>
  <c r="L28" i="17"/>
  <c r="Q28" i="17" s="1"/>
  <c r="K28" i="17"/>
  <c r="J28" i="17"/>
  <c r="O28" i="17" s="1"/>
  <c r="M27" i="17"/>
  <c r="R27" i="17" s="1"/>
  <c r="L27" i="17"/>
  <c r="Q27" i="17" s="1"/>
  <c r="K27" i="17"/>
  <c r="P27" i="17" s="1"/>
  <c r="J27" i="17"/>
  <c r="M26" i="17"/>
  <c r="R26" i="17" s="1"/>
  <c r="L26" i="17"/>
  <c r="Q26" i="17" s="1"/>
  <c r="K26" i="17"/>
  <c r="P26" i="17" s="1"/>
  <c r="J26" i="17"/>
  <c r="O26" i="17" s="1"/>
  <c r="M25" i="17"/>
  <c r="R25" i="17" s="1"/>
  <c r="L25" i="17"/>
  <c r="Q25" i="17" s="1"/>
  <c r="K25" i="17"/>
  <c r="P25" i="17" s="1"/>
  <c r="J25" i="17"/>
  <c r="M24" i="17"/>
  <c r="R24" i="17" s="1"/>
  <c r="L24" i="17"/>
  <c r="Q24" i="17" s="1"/>
  <c r="K24" i="17"/>
  <c r="P24" i="17" s="1"/>
  <c r="J24" i="17"/>
  <c r="O24" i="17" s="1"/>
  <c r="M23" i="17"/>
  <c r="R23" i="17" s="1"/>
  <c r="L23" i="17"/>
  <c r="Q23" i="17" s="1"/>
  <c r="K23" i="17"/>
  <c r="P23" i="17" s="1"/>
  <c r="J23" i="17"/>
  <c r="M22" i="17"/>
  <c r="R22" i="17" s="1"/>
  <c r="L22" i="17"/>
  <c r="Q22" i="17" s="1"/>
  <c r="K22" i="17"/>
  <c r="P22" i="17" s="1"/>
  <c r="J22" i="17"/>
  <c r="O22" i="17" s="1"/>
  <c r="M21" i="17"/>
  <c r="R21" i="17" s="1"/>
  <c r="L21" i="17"/>
  <c r="Q21" i="17" s="1"/>
  <c r="K21" i="17"/>
  <c r="P21" i="17" s="1"/>
  <c r="J21" i="17"/>
  <c r="O21" i="17" s="1"/>
  <c r="M20" i="17"/>
  <c r="R20" i="17" s="1"/>
  <c r="L20" i="17"/>
  <c r="Q20" i="17" s="1"/>
  <c r="K20" i="17"/>
  <c r="J20" i="17"/>
  <c r="O20" i="17" s="1"/>
  <c r="M19" i="17"/>
  <c r="R19" i="17" s="1"/>
  <c r="L19" i="17"/>
  <c r="Q19" i="17" s="1"/>
  <c r="K19" i="17"/>
  <c r="P19" i="17" s="1"/>
  <c r="J19" i="17"/>
  <c r="M18" i="17"/>
  <c r="R18" i="17" s="1"/>
  <c r="L18" i="17"/>
  <c r="Q18" i="17" s="1"/>
  <c r="K18" i="17"/>
  <c r="P18" i="17" s="1"/>
  <c r="J18" i="17"/>
  <c r="O18" i="17" s="1"/>
  <c r="M17" i="17"/>
  <c r="R17" i="17" s="1"/>
  <c r="L17" i="17"/>
  <c r="Q17" i="17" s="1"/>
  <c r="K17" i="17"/>
  <c r="P17" i="17" s="1"/>
  <c r="J17" i="17"/>
  <c r="M16" i="17"/>
  <c r="R16" i="17" s="1"/>
  <c r="L16" i="17"/>
  <c r="Q16" i="17" s="1"/>
  <c r="K16" i="17"/>
  <c r="P16" i="17" s="1"/>
  <c r="J16" i="17"/>
  <c r="O16" i="17" s="1"/>
  <c r="M15" i="17"/>
  <c r="R15" i="17" s="1"/>
  <c r="L15" i="17"/>
  <c r="Q15" i="17" s="1"/>
  <c r="K15" i="17"/>
  <c r="P15" i="17" s="1"/>
  <c r="J15" i="17"/>
  <c r="M14" i="17"/>
  <c r="R14" i="17" s="1"/>
  <c r="L14" i="17"/>
  <c r="Q14" i="17" s="1"/>
  <c r="K14" i="17"/>
  <c r="P14" i="17" s="1"/>
  <c r="J14" i="17"/>
  <c r="O14" i="17" s="1"/>
  <c r="M13" i="17"/>
  <c r="R13" i="17" s="1"/>
  <c r="L13" i="17"/>
  <c r="Q13" i="17" s="1"/>
  <c r="K13" i="17"/>
  <c r="P13" i="17" s="1"/>
  <c r="J13" i="17"/>
  <c r="O13" i="17" s="1"/>
  <c r="M12" i="17"/>
  <c r="R12" i="17" s="1"/>
  <c r="L12" i="17"/>
  <c r="Q12" i="17" s="1"/>
  <c r="K12" i="17"/>
  <c r="J12" i="17"/>
  <c r="O12" i="17" s="1"/>
  <c r="M11" i="17"/>
  <c r="R11" i="17" s="1"/>
  <c r="L11" i="17"/>
  <c r="Q11" i="17" s="1"/>
  <c r="K11" i="17"/>
  <c r="P11" i="17" s="1"/>
  <c r="J11" i="17"/>
  <c r="M10" i="17"/>
  <c r="R10" i="17" s="1"/>
  <c r="L10" i="17"/>
  <c r="Q10" i="17" s="1"/>
  <c r="K10" i="17"/>
  <c r="P10" i="17" s="1"/>
  <c r="J10" i="17"/>
  <c r="O10" i="17" s="1"/>
  <c r="M9" i="17"/>
  <c r="R9" i="17" s="1"/>
  <c r="L9" i="17"/>
  <c r="Q9" i="17" s="1"/>
  <c r="K9" i="17"/>
  <c r="P9" i="17" s="1"/>
  <c r="J9" i="17"/>
  <c r="M8" i="17"/>
  <c r="R8" i="17" s="1"/>
  <c r="L8" i="17"/>
  <c r="Q8" i="17" s="1"/>
  <c r="K8" i="17"/>
  <c r="P8" i="17" s="1"/>
  <c r="J8" i="17"/>
  <c r="O8" i="17" s="1"/>
  <c r="M7" i="17"/>
  <c r="R7" i="17" s="1"/>
  <c r="L7" i="17"/>
  <c r="Q7" i="17" s="1"/>
  <c r="K7" i="17"/>
  <c r="P7" i="17" s="1"/>
  <c r="J7" i="17"/>
  <c r="M6" i="17"/>
  <c r="R6" i="17" s="1"/>
  <c r="L6" i="17"/>
  <c r="Q6" i="17" s="1"/>
  <c r="K6" i="17"/>
  <c r="P6" i="17" s="1"/>
  <c r="J6" i="17"/>
  <c r="O6" i="17" s="1"/>
  <c r="M5" i="17"/>
  <c r="R5" i="17" s="1"/>
  <c r="L5" i="17"/>
  <c r="Q5" i="17" s="1"/>
  <c r="K5" i="17"/>
  <c r="P5" i="17" s="1"/>
  <c r="J5" i="17"/>
  <c r="O5" i="17" s="1"/>
  <c r="M4" i="17"/>
  <c r="R4" i="17" s="1"/>
  <c r="L4" i="17"/>
  <c r="Q4" i="17" s="1"/>
  <c r="K4" i="17"/>
  <c r="J4" i="17"/>
  <c r="O4" i="17" s="1"/>
  <c r="M3" i="17"/>
  <c r="R3" i="17" s="1"/>
  <c r="L3" i="17"/>
  <c r="Q3" i="17" s="1"/>
  <c r="K3" i="17"/>
  <c r="P3" i="17" s="1"/>
  <c r="J3" i="17"/>
  <c r="M2" i="17"/>
  <c r="R2" i="17" s="1"/>
  <c r="L2" i="17"/>
  <c r="Q2" i="17" s="1"/>
  <c r="K2" i="17"/>
  <c r="P2" i="17" s="1"/>
  <c r="J2" i="17"/>
  <c r="M710" i="16"/>
  <c r="R710" i="16" s="1"/>
  <c r="L710" i="16"/>
  <c r="Q710" i="16" s="1"/>
  <c r="K710" i="16"/>
  <c r="J710" i="16"/>
  <c r="O710" i="16" s="1"/>
  <c r="R709" i="16"/>
  <c r="Q709" i="16"/>
  <c r="P709" i="16"/>
  <c r="R708" i="16"/>
  <c r="P708" i="16"/>
  <c r="O708" i="16"/>
  <c r="M707" i="16"/>
  <c r="R707" i="16" s="1"/>
  <c r="L707" i="16"/>
  <c r="Q707" i="16" s="1"/>
  <c r="K707" i="16"/>
  <c r="P707" i="16" s="1"/>
  <c r="J707" i="16"/>
  <c r="R706" i="16"/>
  <c r="Q706" i="16"/>
  <c r="P706" i="16"/>
  <c r="O706" i="16"/>
  <c r="M705" i="16"/>
  <c r="R705" i="16" s="1"/>
  <c r="L705" i="16"/>
  <c r="Q705" i="16" s="1"/>
  <c r="K705" i="16"/>
  <c r="P705" i="16" s="1"/>
  <c r="J705" i="16"/>
  <c r="M704" i="16"/>
  <c r="R704" i="16" s="1"/>
  <c r="L704" i="16"/>
  <c r="Q704" i="16" s="1"/>
  <c r="K704" i="16"/>
  <c r="P704" i="16" s="1"/>
  <c r="J704" i="16"/>
  <c r="O704" i="16" s="1"/>
  <c r="M703" i="16"/>
  <c r="R703" i="16" s="1"/>
  <c r="L703" i="16"/>
  <c r="Q703" i="16" s="1"/>
  <c r="K703" i="16"/>
  <c r="P703" i="16" s="1"/>
  <c r="J703" i="16"/>
  <c r="O703" i="16" s="1"/>
  <c r="M702" i="16"/>
  <c r="R702" i="16" s="1"/>
  <c r="L702" i="16"/>
  <c r="Q702" i="16" s="1"/>
  <c r="K702" i="16"/>
  <c r="J702" i="16"/>
  <c r="O702" i="16" s="1"/>
  <c r="M701" i="16"/>
  <c r="R701" i="16" s="1"/>
  <c r="L701" i="16"/>
  <c r="Q701" i="16" s="1"/>
  <c r="K701" i="16"/>
  <c r="P701" i="16" s="1"/>
  <c r="J701" i="16"/>
  <c r="M700" i="16"/>
  <c r="R700" i="16" s="1"/>
  <c r="L700" i="16"/>
  <c r="Q700" i="16" s="1"/>
  <c r="K700" i="16"/>
  <c r="P700" i="16" s="1"/>
  <c r="J700" i="16"/>
  <c r="O700" i="16" s="1"/>
  <c r="M699" i="16"/>
  <c r="R699" i="16" s="1"/>
  <c r="L699" i="16"/>
  <c r="Q699" i="16" s="1"/>
  <c r="K699" i="16"/>
  <c r="P699" i="16" s="1"/>
  <c r="J699" i="16"/>
  <c r="M698" i="16"/>
  <c r="R698" i="16" s="1"/>
  <c r="L698" i="16"/>
  <c r="Q698" i="16" s="1"/>
  <c r="K698" i="16"/>
  <c r="P698" i="16" s="1"/>
  <c r="J698" i="16"/>
  <c r="O698" i="16" s="1"/>
  <c r="M697" i="16"/>
  <c r="R697" i="16" s="1"/>
  <c r="L697" i="16"/>
  <c r="Q697" i="16" s="1"/>
  <c r="K697" i="16"/>
  <c r="P697" i="16" s="1"/>
  <c r="J697" i="16"/>
  <c r="M696" i="16"/>
  <c r="R696" i="16" s="1"/>
  <c r="L696" i="16"/>
  <c r="Q696" i="16" s="1"/>
  <c r="K696" i="16"/>
  <c r="P696" i="16" s="1"/>
  <c r="J696" i="16"/>
  <c r="O696" i="16" s="1"/>
  <c r="M695" i="16"/>
  <c r="R695" i="16" s="1"/>
  <c r="L695" i="16"/>
  <c r="Q695" i="16" s="1"/>
  <c r="K695" i="16"/>
  <c r="J695" i="16"/>
  <c r="O695" i="16" s="1"/>
  <c r="M694" i="16"/>
  <c r="R694" i="16" s="1"/>
  <c r="L694" i="16"/>
  <c r="Q694" i="16" s="1"/>
  <c r="K694" i="16"/>
  <c r="J694" i="16"/>
  <c r="O694" i="16" s="1"/>
  <c r="M693" i="16"/>
  <c r="R693" i="16" s="1"/>
  <c r="L693" i="16"/>
  <c r="Q693" i="16" s="1"/>
  <c r="K693" i="16"/>
  <c r="P693" i="16" s="1"/>
  <c r="J693" i="16"/>
  <c r="M692" i="16"/>
  <c r="R692" i="16" s="1"/>
  <c r="L692" i="16"/>
  <c r="Q692" i="16" s="1"/>
  <c r="K692" i="16"/>
  <c r="P692" i="16" s="1"/>
  <c r="J692" i="16"/>
  <c r="O692" i="16" s="1"/>
  <c r="M691" i="16"/>
  <c r="R691" i="16" s="1"/>
  <c r="L691" i="16"/>
  <c r="Q691" i="16" s="1"/>
  <c r="K691" i="16"/>
  <c r="P691" i="16" s="1"/>
  <c r="J691" i="16"/>
  <c r="M690" i="16"/>
  <c r="R690" i="16" s="1"/>
  <c r="L690" i="16"/>
  <c r="Q690" i="16" s="1"/>
  <c r="K690" i="16"/>
  <c r="P690" i="16" s="1"/>
  <c r="J690" i="16"/>
  <c r="O690" i="16" s="1"/>
  <c r="M689" i="16"/>
  <c r="R689" i="16" s="1"/>
  <c r="L689" i="16"/>
  <c r="Q689" i="16" s="1"/>
  <c r="K689" i="16"/>
  <c r="P689" i="16" s="1"/>
  <c r="J689" i="16"/>
  <c r="M688" i="16"/>
  <c r="R688" i="16" s="1"/>
  <c r="L688" i="16"/>
  <c r="Q688" i="16" s="1"/>
  <c r="K688" i="16"/>
  <c r="P688" i="16" s="1"/>
  <c r="J688" i="16"/>
  <c r="O688" i="16" s="1"/>
  <c r="M687" i="16"/>
  <c r="R687" i="16" s="1"/>
  <c r="L687" i="16"/>
  <c r="Q687" i="16" s="1"/>
  <c r="K687" i="16"/>
  <c r="P687" i="16" s="1"/>
  <c r="J687" i="16"/>
  <c r="O687" i="16" s="1"/>
  <c r="M686" i="16"/>
  <c r="R686" i="16" s="1"/>
  <c r="L686" i="16"/>
  <c r="Q686" i="16" s="1"/>
  <c r="K686" i="16"/>
  <c r="J686" i="16"/>
  <c r="O686" i="16" s="1"/>
  <c r="M685" i="16"/>
  <c r="R685" i="16" s="1"/>
  <c r="L685" i="16"/>
  <c r="Q685" i="16" s="1"/>
  <c r="K685" i="16"/>
  <c r="P685" i="16" s="1"/>
  <c r="J685" i="16"/>
  <c r="M684" i="16"/>
  <c r="R684" i="16" s="1"/>
  <c r="L684" i="16"/>
  <c r="Q684" i="16" s="1"/>
  <c r="K684" i="16"/>
  <c r="P684" i="16" s="1"/>
  <c r="J684" i="16"/>
  <c r="M683" i="16"/>
  <c r="R683" i="16" s="1"/>
  <c r="L683" i="16"/>
  <c r="Q683" i="16" s="1"/>
  <c r="K683" i="16"/>
  <c r="P683" i="16" s="1"/>
  <c r="J683" i="16"/>
  <c r="M682" i="16"/>
  <c r="R682" i="16" s="1"/>
  <c r="L682" i="16"/>
  <c r="Q682" i="16" s="1"/>
  <c r="K682" i="16"/>
  <c r="P682" i="16" s="1"/>
  <c r="J682" i="16"/>
  <c r="O682" i="16" s="1"/>
  <c r="M681" i="16"/>
  <c r="R681" i="16" s="1"/>
  <c r="L681" i="16"/>
  <c r="Q681" i="16" s="1"/>
  <c r="K681" i="16"/>
  <c r="P681" i="16" s="1"/>
  <c r="J681" i="16"/>
  <c r="M680" i="16"/>
  <c r="R680" i="16" s="1"/>
  <c r="L680" i="16"/>
  <c r="Q680" i="16" s="1"/>
  <c r="K680" i="16"/>
  <c r="P680" i="16" s="1"/>
  <c r="J680" i="16"/>
  <c r="M679" i="16"/>
  <c r="R679" i="16" s="1"/>
  <c r="L679" i="16"/>
  <c r="Q679" i="16" s="1"/>
  <c r="K679" i="16"/>
  <c r="P679" i="16" s="1"/>
  <c r="J679" i="16"/>
  <c r="O679" i="16" s="1"/>
  <c r="M678" i="16"/>
  <c r="R678" i="16" s="1"/>
  <c r="L678" i="16"/>
  <c r="Q678" i="16" s="1"/>
  <c r="K678" i="16"/>
  <c r="J678" i="16"/>
  <c r="O678" i="16" s="1"/>
  <c r="M677" i="16"/>
  <c r="R677" i="16" s="1"/>
  <c r="L677" i="16"/>
  <c r="Q677" i="16" s="1"/>
  <c r="K677" i="16"/>
  <c r="P677" i="16" s="1"/>
  <c r="J677" i="16"/>
  <c r="M676" i="16"/>
  <c r="R676" i="16" s="1"/>
  <c r="L676" i="16"/>
  <c r="Q676" i="16" s="1"/>
  <c r="K676" i="16"/>
  <c r="P676" i="16" s="1"/>
  <c r="J676" i="16"/>
  <c r="O676" i="16" s="1"/>
  <c r="M675" i="16"/>
  <c r="R675" i="16" s="1"/>
  <c r="L675" i="16"/>
  <c r="Q675" i="16" s="1"/>
  <c r="K675" i="16"/>
  <c r="P675" i="16" s="1"/>
  <c r="J675" i="16"/>
  <c r="M674" i="16"/>
  <c r="R674" i="16" s="1"/>
  <c r="L674" i="16"/>
  <c r="Q674" i="16" s="1"/>
  <c r="K674" i="16"/>
  <c r="P674" i="16" s="1"/>
  <c r="J674" i="16"/>
  <c r="O674" i="16" s="1"/>
  <c r="M673" i="16"/>
  <c r="R673" i="16" s="1"/>
  <c r="L673" i="16"/>
  <c r="Q673" i="16" s="1"/>
  <c r="K673" i="16"/>
  <c r="P673" i="16" s="1"/>
  <c r="J673" i="16"/>
  <c r="M672" i="16"/>
  <c r="R672" i="16" s="1"/>
  <c r="L672" i="16"/>
  <c r="Q672" i="16" s="1"/>
  <c r="K672" i="16"/>
  <c r="P672" i="16" s="1"/>
  <c r="J672" i="16"/>
  <c r="O672" i="16" s="1"/>
  <c r="M671" i="16"/>
  <c r="R671" i="16" s="1"/>
  <c r="L671" i="16"/>
  <c r="Q671" i="16" s="1"/>
  <c r="K671" i="16"/>
  <c r="P671" i="16" s="1"/>
  <c r="J671" i="16"/>
  <c r="O671" i="16" s="1"/>
  <c r="M670" i="16"/>
  <c r="R670" i="16" s="1"/>
  <c r="L670" i="16"/>
  <c r="Q670" i="16" s="1"/>
  <c r="K670" i="16"/>
  <c r="P670" i="16" s="1"/>
  <c r="J670" i="16"/>
  <c r="M669" i="16"/>
  <c r="R669" i="16" s="1"/>
  <c r="L669" i="16"/>
  <c r="Q669" i="16" s="1"/>
  <c r="K669" i="16"/>
  <c r="P669" i="16" s="1"/>
  <c r="J669" i="16"/>
  <c r="M668" i="16"/>
  <c r="R668" i="16" s="1"/>
  <c r="L668" i="16"/>
  <c r="Q668" i="16" s="1"/>
  <c r="K668" i="16"/>
  <c r="P668" i="16" s="1"/>
  <c r="J668" i="16"/>
  <c r="M667" i="16"/>
  <c r="R667" i="16" s="1"/>
  <c r="L667" i="16"/>
  <c r="Q667" i="16" s="1"/>
  <c r="K667" i="16"/>
  <c r="P667" i="16" s="1"/>
  <c r="J667" i="16"/>
  <c r="M666" i="16"/>
  <c r="R666" i="16" s="1"/>
  <c r="L666" i="16"/>
  <c r="Q666" i="16" s="1"/>
  <c r="K666" i="16"/>
  <c r="P666" i="16" s="1"/>
  <c r="J666" i="16"/>
  <c r="O666" i="16" s="1"/>
  <c r="M665" i="16"/>
  <c r="R665" i="16" s="1"/>
  <c r="L665" i="16"/>
  <c r="Q665" i="16" s="1"/>
  <c r="K665" i="16"/>
  <c r="P665" i="16" s="1"/>
  <c r="J665" i="16"/>
  <c r="M664" i="16"/>
  <c r="R664" i="16" s="1"/>
  <c r="L664" i="16"/>
  <c r="Q664" i="16" s="1"/>
  <c r="K664" i="16"/>
  <c r="P664" i="16" s="1"/>
  <c r="J664" i="16"/>
  <c r="M663" i="16"/>
  <c r="R663" i="16" s="1"/>
  <c r="L663" i="16"/>
  <c r="Q663" i="16" s="1"/>
  <c r="K663" i="16"/>
  <c r="P663" i="16" s="1"/>
  <c r="J663" i="16"/>
  <c r="M662" i="16"/>
  <c r="R662" i="16" s="1"/>
  <c r="L662" i="16"/>
  <c r="Q662" i="16" s="1"/>
  <c r="K662" i="16"/>
  <c r="P662" i="16" s="1"/>
  <c r="J662" i="16"/>
  <c r="M661" i="16"/>
  <c r="R661" i="16" s="1"/>
  <c r="L661" i="16"/>
  <c r="Q661" i="16" s="1"/>
  <c r="K661" i="16"/>
  <c r="P661" i="16" s="1"/>
  <c r="J661" i="16"/>
  <c r="M660" i="16"/>
  <c r="R660" i="16" s="1"/>
  <c r="L660" i="16"/>
  <c r="K660" i="16"/>
  <c r="P660" i="16" s="1"/>
  <c r="J660" i="16"/>
  <c r="O660" i="16" s="1"/>
  <c r="M659" i="16"/>
  <c r="R659" i="16" s="1"/>
  <c r="L659" i="16"/>
  <c r="Q659" i="16" s="1"/>
  <c r="K659" i="16"/>
  <c r="P659" i="16" s="1"/>
  <c r="J659" i="16"/>
  <c r="M658" i="16"/>
  <c r="R658" i="16" s="1"/>
  <c r="L658" i="16"/>
  <c r="Q658" i="16" s="1"/>
  <c r="K658" i="16"/>
  <c r="P658" i="16" s="1"/>
  <c r="J658" i="16"/>
  <c r="O658" i="16" s="1"/>
  <c r="M657" i="16"/>
  <c r="R657" i="16" s="1"/>
  <c r="L657" i="16"/>
  <c r="Q657" i="16" s="1"/>
  <c r="K657" i="16"/>
  <c r="P657" i="16" s="1"/>
  <c r="J657" i="16"/>
  <c r="M656" i="16"/>
  <c r="R656" i="16" s="1"/>
  <c r="L656" i="16"/>
  <c r="Q656" i="16" s="1"/>
  <c r="K656" i="16"/>
  <c r="P656" i="16" s="1"/>
  <c r="J656" i="16"/>
  <c r="M655" i="16"/>
  <c r="R655" i="16" s="1"/>
  <c r="L655" i="16"/>
  <c r="Q655" i="16" s="1"/>
  <c r="K655" i="16"/>
  <c r="P655" i="16" s="1"/>
  <c r="J655" i="16"/>
  <c r="M654" i="16"/>
  <c r="R654" i="16" s="1"/>
  <c r="L654" i="16"/>
  <c r="Q654" i="16" s="1"/>
  <c r="K654" i="16"/>
  <c r="P654" i="16" s="1"/>
  <c r="J654" i="16"/>
  <c r="M653" i="16"/>
  <c r="R653" i="16" s="1"/>
  <c r="L653" i="16"/>
  <c r="Q653" i="16" s="1"/>
  <c r="K653" i="16"/>
  <c r="P653" i="16" s="1"/>
  <c r="J653" i="16"/>
  <c r="M652" i="16"/>
  <c r="R652" i="16" s="1"/>
  <c r="L652" i="16"/>
  <c r="Q652" i="16" s="1"/>
  <c r="K652" i="16"/>
  <c r="P652" i="16" s="1"/>
  <c r="J652" i="16"/>
  <c r="O652" i="16" s="1"/>
  <c r="M651" i="16"/>
  <c r="R651" i="16" s="1"/>
  <c r="L651" i="16"/>
  <c r="Q651" i="16" s="1"/>
  <c r="K651" i="16"/>
  <c r="P651" i="16" s="1"/>
  <c r="J651" i="16"/>
  <c r="M650" i="16"/>
  <c r="R650" i="16" s="1"/>
  <c r="L650" i="16"/>
  <c r="Q650" i="16" s="1"/>
  <c r="K650" i="16"/>
  <c r="P650" i="16" s="1"/>
  <c r="J650" i="16"/>
  <c r="O650" i="16" s="1"/>
  <c r="M649" i="16"/>
  <c r="R649" i="16" s="1"/>
  <c r="L649" i="16"/>
  <c r="Q649" i="16" s="1"/>
  <c r="K649" i="16"/>
  <c r="P649" i="16" s="1"/>
  <c r="J649" i="16"/>
  <c r="M648" i="16"/>
  <c r="R648" i="16" s="1"/>
  <c r="L648" i="16"/>
  <c r="Q648" i="16" s="1"/>
  <c r="K648" i="16"/>
  <c r="P648" i="16" s="1"/>
  <c r="J648" i="16"/>
  <c r="O648" i="16" s="1"/>
  <c r="M647" i="16"/>
  <c r="R647" i="16" s="1"/>
  <c r="L647" i="16"/>
  <c r="Q647" i="16" s="1"/>
  <c r="K647" i="16"/>
  <c r="P647" i="16" s="1"/>
  <c r="J647" i="16"/>
  <c r="O647" i="16" s="1"/>
  <c r="M646" i="16"/>
  <c r="R646" i="16" s="1"/>
  <c r="L646" i="16"/>
  <c r="Q646" i="16" s="1"/>
  <c r="K646" i="16"/>
  <c r="P646" i="16" s="1"/>
  <c r="J646" i="16"/>
  <c r="M645" i="16"/>
  <c r="R645" i="16" s="1"/>
  <c r="L645" i="16"/>
  <c r="Q645" i="16" s="1"/>
  <c r="K645" i="16"/>
  <c r="P645" i="16" s="1"/>
  <c r="J645" i="16"/>
  <c r="M644" i="16"/>
  <c r="R644" i="16" s="1"/>
  <c r="L644" i="16"/>
  <c r="Q644" i="16" s="1"/>
  <c r="K644" i="16"/>
  <c r="P644" i="16" s="1"/>
  <c r="J644" i="16"/>
  <c r="O644" i="16" s="1"/>
  <c r="M643" i="16"/>
  <c r="R643" i="16" s="1"/>
  <c r="L643" i="16"/>
  <c r="Q643" i="16" s="1"/>
  <c r="K643" i="16"/>
  <c r="P643" i="16" s="1"/>
  <c r="J643" i="16"/>
  <c r="M642" i="16"/>
  <c r="R642" i="16" s="1"/>
  <c r="L642" i="16"/>
  <c r="Q642" i="16" s="1"/>
  <c r="K642" i="16"/>
  <c r="P642" i="16" s="1"/>
  <c r="J642" i="16"/>
  <c r="O642" i="16" s="1"/>
  <c r="M641" i="16"/>
  <c r="R641" i="16" s="1"/>
  <c r="L641" i="16"/>
  <c r="Q641" i="16" s="1"/>
  <c r="K641" i="16"/>
  <c r="P641" i="16" s="1"/>
  <c r="J641" i="16"/>
  <c r="M640" i="16"/>
  <c r="R640" i="16" s="1"/>
  <c r="L640" i="16"/>
  <c r="Q640" i="16" s="1"/>
  <c r="K640" i="16"/>
  <c r="P640" i="16" s="1"/>
  <c r="J640" i="16"/>
  <c r="O640" i="16" s="1"/>
  <c r="M639" i="16"/>
  <c r="R639" i="16" s="1"/>
  <c r="L639" i="16"/>
  <c r="Q639" i="16" s="1"/>
  <c r="K639" i="16"/>
  <c r="P639" i="16" s="1"/>
  <c r="J639" i="16"/>
  <c r="O639" i="16" s="1"/>
  <c r="M638" i="16"/>
  <c r="R638" i="16" s="1"/>
  <c r="L638" i="16"/>
  <c r="Q638" i="16" s="1"/>
  <c r="K638" i="16"/>
  <c r="P638" i="16" s="1"/>
  <c r="J638" i="16"/>
  <c r="M637" i="16"/>
  <c r="R637" i="16" s="1"/>
  <c r="L637" i="16"/>
  <c r="Q637" i="16" s="1"/>
  <c r="K637" i="16"/>
  <c r="P637" i="16" s="1"/>
  <c r="J637" i="16"/>
  <c r="M636" i="16"/>
  <c r="R636" i="16" s="1"/>
  <c r="L636" i="16"/>
  <c r="Q636" i="16" s="1"/>
  <c r="K636" i="16"/>
  <c r="P636" i="16" s="1"/>
  <c r="J636" i="16"/>
  <c r="M635" i="16"/>
  <c r="R635" i="16" s="1"/>
  <c r="L635" i="16"/>
  <c r="Q635" i="16" s="1"/>
  <c r="K635" i="16"/>
  <c r="P635" i="16" s="1"/>
  <c r="J635" i="16"/>
  <c r="M634" i="16"/>
  <c r="R634" i="16" s="1"/>
  <c r="L634" i="16"/>
  <c r="Q634" i="16" s="1"/>
  <c r="K634" i="16"/>
  <c r="P634" i="16" s="1"/>
  <c r="J634" i="16"/>
  <c r="O634" i="16" s="1"/>
  <c r="M633" i="16"/>
  <c r="R633" i="16" s="1"/>
  <c r="L633" i="16"/>
  <c r="Q633" i="16" s="1"/>
  <c r="K633" i="16"/>
  <c r="P633" i="16" s="1"/>
  <c r="J633" i="16"/>
  <c r="M632" i="16"/>
  <c r="R632" i="16" s="1"/>
  <c r="L632" i="16"/>
  <c r="Q632" i="16" s="1"/>
  <c r="K632" i="16"/>
  <c r="P632" i="16" s="1"/>
  <c r="J632" i="16"/>
  <c r="M631" i="16"/>
  <c r="R631" i="16" s="1"/>
  <c r="L631" i="16"/>
  <c r="Q631" i="16" s="1"/>
  <c r="K631" i="16"/>
  <c r="P631" i="16" s="1"/>
  <c r="J631" i="16"/>
  <c r="M630" i="16"/>
  <c r="R630" i="16" s="1"/>
  <c r="L630" i="16"/>
  <c r="Q630" i="16" s="1"/>
  <c r="K630" i="16"/>
  <c r="P630" i="16" s="1"/>
  <c r="J630" i="16"/>
  <c r="M629" i="16"/>
  <c r="R629" i="16" s="1"/>
  <c r="L629" i="16"/>
  <c r="Q629" i="16" s="1"/>
  <c r="K629" i="16"/>
  <c r="P629" i="16" s="1"/>
  <c r="J629" i="16"/>
  <c r="O629" i="16" s="1"/>
  <c r="M628" i="16"/>
  <c r="R628" i="16" s="1"/>
  <c r="L628" i="16"/>
  <c r="K628" i="16"/>
  <c r="P628" i="16" s="1"/>
  <c r="J628" i="16"/>
  <c r="O628" i="16" s="1"/>
  <c r="M627" i="16"/>
  <c r="R627" i="16" s="1"/>
  <c r="L627" i="16"/>
  <c r="Q627" i="16" s="1"/>
  <c r="K627" i="16"/>
  <c r="P627" i="16" s="1"/>
  <c r="J627" i="16"/>
  <c r="M626" i="16"/>
  <c r="R626" i="16" s="1"/>
  <c r="L626" i="16"/>
  <c r="Q626" i="16" s="1"/>
  <c r="K626" i="16"/>
  <c r="P626" i="16" s="1"/>
  <c r="J626" i="16"/>
  <c r="O626" i="16" s="1"/>
  <c r="M625" i="16"/>
  <c r="R625" i="16" s="1"/>
  <c r="L625" i="16"/>
  <c r="Q625" i="16" s="1"/>
  <c r="K625" i="16"/>
  <c r="P625" i="16" s="1"/>
  <c r="J625" i="16"/>
  <c r="M624" i="16"/>
  <c r="R624" i="16" s="1"/>
  <c r="L624" i="16"/>
  <c r="Q624" i="16" s="1"/>
  <c r="K624" i="16"/>
  <c r="P624" i="16" s="1"/>
  <c r="J624" i="16"/>
  <c r="M623" i="16"/>
  <c r="R623" i="16" s="1"/>
  <c r="L623" i="16"/>
  <c r="Q623" i="16" s="1"/>
  <c r="K623" i="16"/>
  <c r="P623" i="16" s="1"/>
  <c r="J623" i="16"/>
  <c r="M622" i="16"/>
  <c r="R622" i="16" s="1"/>
  <c r="L622" i="16"/>
  <c r="Q622" i="16" s="1"/>
  <c r="K622" i="16"/>
  <c r="P622" i="16" s="1"/>
  <c r="J622" i="16"/>
  <c r="M621" i="16"/>
  <c r="R621" i="16" s="1"/>
  <c r="L621" i="16"/>
  <c r="Q621" i="16" s="1"/>
  <c r="K621" i="16"/>
  <c r="P621" i="16" s="1"/>
  <c r="J621" i="16"/>
  <c r="M620" i="16"/>
  <c r="R620" i="16" s="1"/>
  <c r="L620" i="16"/>
  <c r="Q620" i="16" s="1"/>
  <c r="K620" i="16"/>
  <c r="P620" i="16" s="1"/>
  <c r="J620" i="16"/>
  <c r="O620" i="16" s="1"/>
  <c r="M619" i="16"/>
  <c r="R619" i="16" s="1"/>
  <c r="L619" i="16"/>
  <c r="Q619" i="16" s="1"/>
  <c r="K619" i="16"/>
  <c r="P619" i="16" s="1"/>
  <c r="J619" i="16"/>
  <c r="M618" i="16"/>
  <c r="R618" i="16" s="1"/>
  <c r="L618" i="16"/>
  <c r="Q618" i="16" s="1"/>
  <c r="K618" i="16"/>
  <c r="P618" i="16" s="1"/>
  <c r="J618" i="16"/>
  <c r="O618" i="16" s="1"/>
  <c r="M617" i="16"/>
  <c r="R617" i="16" s="1"/>
  <c r="L617" i="16"/>
  <c r="Q617" i="16" s="1"/>
  <c r="K617" i="16"/>
  <c r="P617" i="16" s="1"/>
  <c r="J617" i="16"/>
  <c r="M616" i="16"/>
  <c r="R616" i="16" s="1"/>
  <c r="L616" i="16"/>
  <c r="Q616" i="16" s="1"/>
  <c r="K616" i="16"/>
  <c r="P616" i="16" s="1"/>
  <c r="J616" i="16"/>
  <c r="O616" i="16" s="1"/>
  <c r="M615" i="16"/>
  <c r="R615" i="16" s="1"/>
  <c r="L615" i="16"/>
  <c r="Q615" i="16" s="1"/>
  <c r="K615" i="16"/>
  <c r="P615" i="16" s="1"/>
  <c r="J615" i="16"/>
  <c r="O615" i="16" s="1"/>
  <c r="M614" i="16"/>
  <c r="R614" i="16" s="1"/>
  <c r="L614" i="16"/>
  <c r="Q614" i="16" s="1"/>
  <c r="K614" i="16"/>
  <c r="P614" i="16" s="1"/>
  <c r="J614" i="16"/>
  <c r="M613" i="16"/>
  <c r="R613" i="16" s="1"/>
  <c r="L613" i="16"/>
  <c r="Q613" i="16" s="1"/>
  <c r="K613" i="16"/>
  <c r="P613" i="16" s="1"/>
  <c r="J613" i="16"/>
  <c r="M612" i="16"/>
  <c r="R612" i="16" s="1"/>
  <c r="L612" i="16"/>
  <c r="Q612" i="16" s="1"/>
  <c r="K612" i="16"/>
  <c r="P612" i="16" s="1"/>
  <c r="J612" i="16"/>
  <c r="O612" i="16" s="1"/>
  <c r="M611" i="16"/>
  <c r="R611" i="16" s="1"/>
  <c r="L611" i="16"/>
  <c r="Q611" i="16" s="1"/>
  <c r="K611" i="16"/>
  <c r="P611" i="16" s="1"/>
  <c r="J611" i="16"/>
  <c r="M610" i="16"/>
  <c r="R610" i="16" s="1"/>
  <c r="L610" i="16"/>
  <c r="Q610" i="16" s="1"/>
  <c r="K610" i="16"/>
  <c r="P610" i="16" s="1"/>
  <c r="J610" i="16"/>
  <c r="O610" i="16" s="1"/>
  <c r="M609" i="16"/>
  <c r="R609" i="16" s="1"/>
  <c r="L609" i="16"/>
  <c r="Q609" i="16" s="1"/>
  <c r="K609" i="16"/>
  <c r="P609" i="16" s="1"/>
  <c r="J609" i="16"/>
  <c r="M608" i="16"/>
  <c r="R608" i="16" s="1"/>
  <c r="L608" i="16"/>
  <c r="Q608" i="16" s="1"/>
  <c r="K608" i="16"/>
  <c r="P608" i="16" s="1"/>
  <c r="J608" i="16"/>
  <c r="O608" i="16" s="1"/>
  <c r="M607" i="16"/>
  <c r="R607" i="16" s="1"/>
  <c r="L607" i="16"/>
  <c r="Q607" i="16" s="1"/>
  <c r="K607" i="16"/>
  <c r="P607" i="16" s="1"/>
  <c r="J607" i="16"/>
  <c r="O607" i="16" s="1"/>
  <c r="M606" i="16"/>
  <c r="R606" i="16" s="1"/>
  <c r="L606" i="16"/>
  <c r="Q606" i="16" s="1"/>
  <c r="K606" i="16"/>
  <c r="P606" i="16" s="1"/>
  <c r="J606" i="16"/>
  <c r="M605" i="16"/>
  <c r="R605" i="16" s="1"/>
  <c r="L605" i="16"/>
  <c r="Q605" i="16" s="1"/>
  <c r="K605" i="16"/>
  <c r="P605" i="16" s="1"/>
  <c r="J605" i="16"/>
  <c r="M604" i="16"/>
  <c r="R604" i="16" s="1"/>
  <c r="L604" i="16"/>
  <c r="Q604" i="16" s="1"/>
  <c r="K604" i="16"/>
  <c r="P604" i="16" s="1"/>
  <c r="J604" i="16"/>
  <c r="M603" i="16"/>
  <c r="R603" i="16" s="1"/>
  <c r="L603" i="16"/>
  <c r="Q603" i="16" s="1"/>
  <c r="K603" i="16"/>
  <c r="P603" i="16" s="1"/>
  <c r="J603" i="16"/>
  <c r="M602" i="16"/>
  <c r="R602" i="16" s="1"/>
  <c r="L602" i="16"/>
  <c r="Q602" i="16" s="1"/>
  <c r="K602" i="16"/>
  <c r="P602" i="16" s="1"/>
  <c r="J602" i="16"/>
  <c r="O602" i="16" s="1"/>
  <c r="M601" i="16"/>
  <c r="R601" i="16" s="1"/>
  <c r="L601" i="16"/>
  <c r="Q601" i="16" s="1"/>
  <c r="K601" i="16"/>
  <c r="P601" i="16" s="1"/>
  <c r="J601" i="16"/>
  <c r="M600" i="16"/>
  <c r="R600" i="16" s="1"/>
  <c r="L600" i="16"/>
  <c r="Q600" i="16" s="1"/>
  <c r="K600" i="16"/>
  <c r="P600" i="16" s="1"/>
  <c r="J600" i="16"/>
  <c r="M599" i="16"/>
  <c r="R599" i="16" s="1"/>
  <c r="L599" i="16"/>
  <c r="Q599" i="16" s="1"/>
  <c r="K599" i="16"/>
  <c r="P599" i="16" s="1"/>
  <c r="J599" i="16"/>
  <c r="M598" i="16"/>
  <c r="R598" i="16" s="1"/>
  <c r="L598" i="16"/>
  <c r="Q598" i="16" s="1"/>
  <c r="K598" i="16"/>
  <c r="P598" i="16" s="1"/>
  <c r="J598" i="16"/>
  <c r="M597" i="16"/>
  <c r="R597" i="16" s="1"/>
  <c r="L597" i="16"/>
  <c r="Q597" i="16" s="1"/>
  <c r="K597" i="16"/>
  <c r="P597" i="16" s="1"/>
  <c r="J597" i="16"/>
  <c r="O597" i="16" s="1"/>
  <c r="M596" i="16"/>
  <c r="R596" i="16" s="1"/>
  <c r="L596" i="16"/>
  <c r="Q596" i="16" s="1"/>
  <c r="K596" i="16"/>
  <c r="P596" i="16" s="1"/>
  <c r="J596" i="16"/>
  <c r="O596" i="16" s="1"/>
  <c r="M595" i="16"/>
  <c r="R595" i="16" s="1"/>
  <c r="L595" i="16"/>
  <c r="Q595" i="16" s="1"/>
  <c r="K595" i="16"/>
  <c r="P595" i="16" s="1"/>
  <c r="J595" i="16"/>
  <c r="M594" i="16"/>
  <c r="R594" i="16" s="1"/>
  <c r="L594" i="16"/>
  <c r="Q594" i="16" s="1"/>
  <c r="K594" i="16"/>
  <c r="P594" i="16" s="1"/>
  <c r="J594" i="16"/>
  <c r="O594" i="16" s="1"/>
  <c r="M593" i="16"/>
  <c r="R593" i="16" s="1"/>
  <c r="L593" i="16"/>
  <c r="Q593" i="16" s="1"/>
  <c r="K593" i="16"/>
  <c r="P593" i="16" s="1"/>
  <c r="J593" i="16"/>
  <c r="M592" i="16"/>
  <c r="R592" i="16" s="1"/>
  <c r="L592" i="16"/>
  <c r="Q592" i="16" s="1"/>
  <c r="K592" i="16"/>
  <c r="P592" i="16" s="1"/>
  <c r="J592" i="16"/>
  <c r="M591" i="16"/>
  <c r="R591" i="16" s="1"/>
  <c r="L591" i="16"/>
  <c r="Q591" i="16" s="1"/>
  <c r="K591" i="16"/>
  <c r="P591" i="16" s="1"/>
  <c r="J591" i="16"/>
  <c r="M590" i="16"/>
  <c r="R590" i="16" s="1"/>
  <c r="L590" i="16"/>
  <c r="Q590" i="16" s="1"/>
  <c r="K590" i="16"/>
  <c r="P590" i="16" s="1"/>
  <c r="J590" i="16"/>
  <c r="M589" i="16"/>
  <c r="R589" i="16" s="1"/>
  <c r="L589" i="16"/>
  <c r="Q589" i="16" s="1"/>
  <c r="K589" i="16"/>
  <c r="P589" i="16" s="1"/>
  <c r="J589" i="16"/>
  <c r="M588" i="16"/>
  <c r="R588" i="16" s="1"/>
  <c r="L588" i="16"/>
  <c r="Q588" i="16" s="1"/>
  <c r="K588" i="16"/>
  <c r="P588" i="16" s="1"/>
  <c r="J588" i="16"/>
  <c r="O588" i="16" s="1"/>
  <c r="M587" i="16"/>
  <c r="R587" i="16" s="1"/>
  <c r="L587" i="16"/>
  <c r="Q587" i="16" s="1"/>
  <c r="K587" i="16"/>
  <c r="P587" i="16" s="1"/>
  <c r="J587" i="16"/>
  <c r="M586" i="16"/>
  <c r="R586" i="16" s="1"/>
  <c r="L586" i="16"/>
  <c r="Q586" i="16" s="1"/>
  <c r="K586" i="16"/>
  <c r="P586" i="16" s="1"/>
  <c r="J586" i="16"/>
  <c r="O586" i="16" s="1"/>
  <c r="M585" i="16"/>
  <c r="R585" i="16" s="1"/>
  <c r="L585" i="16"/>
  <c r="Q585" i="16" s="1"/>
  <c r="K585" i="16"/>
  <c r="P585" i="16" s="1"/>
  <c r="J585" i="16"/>
  <c r="M584" i="16"/>
  <c r="R584" i="16" s="1"/>
  <c r="L584" i="16"/>
  <c r="Q584" i="16" s="1"/>
  <c r="K584" i="16"/>
  <c r="P584" i="16" s="1"/>
  <c r="J584" i="16"/>
  <c r="O584" i="16" s="1"/>
  <c r="M583" i="16"/>
  <c r="R583" i="16" s="1"/>
  <c r="L583" i="16"/>
  <c r="Q583" i="16" s="1"/>
  <c r="K583" i="16"/>
  <c r="P583" i="16" s="1"/>
  <c r="J583" i="16"/>
  <c r="O583" i="16" s="1"/>
  <c r="M582" i="16"/>
  <c r="R582" i="16" s="1"/>
  <c r="L582" i="16"/>
  <c r="Q582" i="16" s="1"/>
  <c r="K582" i="16"/>
  <c r="P582" i="16" s="1"/>
  <c r="J582" i="16"/>
  <c r="M581" i="16"/>
  <c r="R581" i="16" s="1"/>
  <c r="L581" i="16"/>
  <c r="Q581" i="16" s="1"/>
  <c r="K581" i="16"/>
  <c r="P581" i="16" s="1"/>
  <c r="J581" i="16"/>
  <c r="M580" i="16"/>
  <c r="R580" i="16" s="1"/>
  <c r="L580" i="16"/>
  <c r="Q580" i="16" s="1"/>
  <c r="K580" i="16"/>
  <c r="P580" i="16" s="1"/>
  <c r="J580" i="16"/>
  <c r="O580" i="16" s="1"/>
  <c r="M579" i="16"/>
  <c r="R579" i="16" s="1"/>
  <c r="L579" i="16"/>
  <c r="Q579" i="16" s="1"/>
  <c r="K579" i="16"/>
  <c r="P579" i="16" s="1"/>
  <c r="J579" i="16"/>
  <c r="M578" i="16"/>
  <c r="R578" i="16" s="1"/>
  <c r="L578" i="16"/>
  <c r="Q578" i="16" s="1"/>
  <c r="K578" i="16"/>
  <c r="P578" i="16" s="1"/>
  <c r="J578" i="16"/>
  <c r="O578" i="16" s="1"/>
  <c r="M577" i="16"/>
  <c r="R577" i="16" s="1"/>
  <c r="L577" i="16"/>
  <c r="Q577" i="16" s="1"/>
  <c r="K577" i="16"/>
  <c r="P577" i="16" s="1"/>
  <c r="J577" i="16"/>
  <c r="M576" i="16"/>
  <c r="R576" i="16" s="1"/>
  <c r="L576" i="16"/>
  <c r="Q576" i="16" s="1"/>
  <c r="K576" i="16"/>
  <c r="P576" i="16" s="1"/>
  <c r="J576" i="16"/>
  <c r="O576" i="16" s="1"/>
  <c r="M575" i="16"/>
  <c r="R575" i="16" s="1"/>
  <c r="L575" i="16"/>
  <c r="Q575" i="16" s="1"/>
  <c r="K575" i="16"/>
  <c r="P575" i="16" s="1"/>
  <c r="J575" i="16"/>
  <c r="O575" i="16" s="1"/>
  <c r="M574" i="16"/>
  <c r="R574" i="16" s="1"/>
  <c r="L574" i="16"/>
  <c r="Q574" i="16" s="1"/>
  <c r="K574" i="16"/>
  <c r="P574" i="16" s="1"/>
  <c r="J574" i="16"/>
  <c r="M573" i="16"/>
  <c r="R573" i="16" s="1"/>
  <c r="L573" i="16"/>
  <c r="Q573" i="16" s="1"/>
  <c r="K573" i="16"/>
  <c r="P573" i="16" s="1"/>
  <c r="J573" i="16"/>
  <c r="M572" i="16"/>
  <c r="R572" i="16" s="1"/>
  <c r="L572" i="16"/>
  <c r="Q572" i="16" s="1"/>
  <c r="K572" i="16"/>
  <c r="P572" i="16" s="1"/>
  <c r="J572" i="16"/>
  <c r="M571" i="16"/>
  <c r="R571" i="16" s="1"/>
  <c r="L571" i="16"/>
  <c r="Q571" i="16" s="1"/>
  <c r="K571" i="16"/>
  <c r="P571" i="16" s="1"/>
  <c r="J571" i="16"/>
  <c r="M570" i="16"/>
  <c r="R570" i="16" s="1"/>
  <c r="L570" i="16"/>
  <c r="Q570" i="16" s="1"/>
  <c r="K570" i="16"/>
  <c r="P570" i="16" s="1"/>
  <c r="J570" i="16"/>
  <c r="O570" i="16" s="1"/>
  <c r="M569" i="16"/>
  <c r="R569" i="16" s="1"/>
  <c r="L569" i="16"/>
  <c r="Q569" i="16" s="1"/>
  <c r="K569" i="16"/>
  <c r="P569" i="16" s="1"/>
  <c r="J569" i="16"/>
  <c r="M568" i="16"/>
  <c r="R568" i="16" s="1"/>
  <c r="L568" i="16"/>
  <c r="Q568" i="16" s="1"/>
  <c r="K568" i="16"/>
  <c r="P568" i="16" s="1"/>
  <c r="J568" i="16"/>
  <c r="M567" i="16"/>
  <c r="R567" i="16" s="1"/>
  <c r="L567" i="16"/>
  <c r="Q567" i="16" s="1"/>
  <c r="K567" i="16"/>
  <c r="P567" i="16" s="1"/>
  <c r="J567" i="16"/>
  <c r="M566" i="16"/>
  <c r="R566" i="16" s="1"/>
  <c r="L566" i="16"/>
  <c r="Q566" i="16" s="1"/>
  <c r="K566" i="16"/>
  <c r="P566" i="16" s="1"/>
  <c r="J566" i="16"/>
  <c r="M565" i="16"/>
  <c r="R565" i="16" s="1"/>
  <c r="L565" i="16"/>
  <c r="Q565" i="16" s="1"/>
  <c r="K565" i="16"/>
  <c r="P565" i="16" s="1"/>
  <c r="J565" i="16"/>
  <c r="M564" i="16"/>
  <c r="R564" i="16" s="1"/>
  <c r="L564" i="16"/>
  <c r="Q564" i="16" s="1"/>
  <c r="K564" i="16"/>
  <c r="P564" i="16" s="1"/>
  <c r="J564" i="16"/>
  <c r="O564" i="16" s="1"/>
  <c r="M563" i="16"/>
  <c r="R563" i="16" s="1"/>
  <c r="L563" i="16"/>
  <c r="Q563" i="16" s="1"/>
  <c r="K563" i="16"/>
  <c r="P563" i="16" s="1"/>
  <c r="J563" i="16"/>
  <c r="M562" i="16"/>
  <c r="R562" i="16" s="1"/>
  <c r="L562" i="16"/>
  <c r="Q562" i="16" s="1"/>
  <c r="K562" i="16"/>
  <c r="P562" i="16" s="1"/>
  <c r="J562" i="16"/>
  <c r="O562" i="16" s="1"/>
  <c r="M561" i="16"/>
  <c r="R561" i="16" s="1"/>
  <c r="L561" i="16"/>
  <c r="Q561" i="16" s="1"/>
  <c r="K561" i="16"/>
  <c r="P561" i="16" s="1"/>
  <c r="J561" i="16"/>
  <c r="M560" i="16"/>
  <c r="R560" i="16" s="1"/>
  <c r="L560" i="16"/>
  <c r="Q560" i="16" s="1"/>
  <c r="K560" i="16"/>
  <c r="P560" i="16" s="1"/>
  <c r="J560" i="16"/>
  <c r="M559" i="16"/>
  <c r="R559" i="16" s="1"/>
  <c r="L559" i="16"/>
  <c r="Q559" i="16" s="1"/>
  <c r="K559" i="16"/>
  <c r="P559" i="16" s="1"/>
  <c r="J559" i="16"/>
  <c r="M558" i="16"/>
  <c r="R558" i="16" s="1"/>
  <c r="L558" i="16"/>
  <c r="Q558" i="16" s="1"/>
  <c r="K558" i="16"/>
  <c r="P558" i="16" s="1"/>
  <c r="J558" i="16"/>
  <c r="M557" i="16"/>
  <c r="R557" i="16" s="1"/>
  <c r="L557" i="16"/>
  <c r="Q557" i="16" s="1"/>
  <c r="K557" i="16"/>
  <c r="P557" i="16" s="1"/>
  <c r="J557" i="16"/>
  <c r="M556" i="16"/>
  <c r="R556" i="16" s="1"/>
  <c r="L556" i="16"/>
  <c r="Q556" i="16" s="1"/>
  <c r="K556" i="16"/>
  <c r="P556" i="16" s="1"/>
  <c r="J556" i="16"/>
  <c r="O556" i="16" s="1"/>
  <c r="M555" i="16"/>
  <c r="R555" i="16" s="1"/>
  <c r="L555" i="16"/>
  <c r="Q555" i="16" s="1"/>
  <c r="K555" i="16"/>
  <c r="P555" i="16" s="1"/>
  <c r="J555" i="16"/>
  <c r="M554" i="16"/>
  <c r="R554" i="16" s="1"/>
  <c r="L554" i="16"/>
  <c r="Q554" i="16" s="1"/>
  <c r="K554" i="16"/>
  <c r="P554" i="16" s="1"/>
  <c r="J554" i="16"/>
  <c r="O554" i="16" s="1"/>
  <c r="M553" i="16"/>
  <c r="R553" i="16" s="1"/>
  <c r="L553" i="16"/>
  <c r="Q553" i="16" s="1"/>
  <c r="K553" i="16"/>
  <c r="P553" i="16" s="1"/>
  <c r="J553" i="16"/>
  <c r="M552" i="16"/>
  <c r="R552" i="16" s="1"/>
  <c r="L552" i="16"/>
  <c r="Q552" i="16" s="1"/>
  <c r="K552" i="16"/>
  <c r="P552" i="16" s="1"/>
  <c r="J552" i="16"/>
  <c r="O552" i="16" s="1"/>
  <c r="M551" i="16"/>
  <c r="R551" i="16" s="1"/>
  <c r="L551" i="16"/>
  <c r="Q551" i="16" s="1"/>
  <c r="K551" i="16"/>
  <c r="P551" i="16" s="1"/>
  <c r="J551" i="16"/>
  <c r="O551" i="16" s="1"/>
  <c r="M550" i="16"/>
  <c r="R550" i="16" s="1"/>
  <c r="L550" i="16"/>
  <c r="Q550" i="16" s="1"/>
  <c r="K550" i="16"/>
  <c r="P550" i="16" s="1"/>
  <c r="J550" i="16"/>
  <c r="M549" i="16"/>
  <c r="R549" i="16" s="1"/>
  <c r="L549" i="16"/>
  <c r="Q549" i="16" s="1"/>
  <c r="K549" i="16"/>
  <c r="P549" i="16" s="1"/>
  <c r="J549" i="16"/>
  <c r="M548" i="16"/>
  <c r="R548" i="16" s="1"/>
  <c r="L548" i="16"/>
  <c r="Q548" i="16" s="1"/>
  <c r="K548" i="16"/>
  <c r="P548" i="16" s="1"/>
  <c r="J548" i="16"/>
  <c r="M547" i="16"/>
  <c r="R547" i="16" s="1"/>
  <c r="L547" i="16"/>
  <c r="Q547" i="16" s="1"/>
  <c r="K547" i="16"/>
  <c r="P547" i="16" s="1"/>
  <c r="J547" i="16"/>
  <c r="M546" i="16"/>
  <c r="R546" i="16" s="1"/>
  <c r="L546" i="16"/>
  <c r="Q546" i="16" s="1"/>
  <c r="K546" i="16"/>
  <c r="P546" i="16" s="1"/>
  <c r="J546" i="16"/>
  <c r="O546" i="16" s="1"/>
  <c r="M545" i="16"/>
  <c r="R545" i="16" s="1"/>
  <c r="L545" i="16"/>
  <c r="Q545" i="16" s="1"/>
  <c r="K545" i="16"/>
  <c r="P545" i="16" s="1"/>
  <c r="J545" i="16"/>
  <c r="M544" i="16"/>
  <c r="R544" i="16" s="1"/>
  <c r="L544" i="16"/>
  <c r="Q544" i="16" s="1"/>
  <c r="K544" i="16"/>
  <c r="P544" i="16" s="1"/>
  <c r="J544" i="16"/>
  <c r="M543" i="16"/>
  <c r="R543" i="16" s="1"/>
  <c r="L543" i="16"/>
  <c r="Q543" i="16" s="1"/>
  <c r="K543" i="16"/>
  <c r="P543" i="16" s="1"/>
  <c r="J543" i="16"/>
  <c r="M542" i="16"/>
  <c r="R542" i="16" s="1"/>
  <c r="L542" i="16"/>
  <c r="Q542" i="16" s="1"/>
  <c r="K542" i="16"/>
  <c r="P542" i="16" s="1"/>
  <c r="J542" i="16"/>
  <c r="M541" i="16"/>
  <c r="R541" i="16" s="1"/>
  <c r="L541" i="16"/>
  <c r="Q541" i="16" s="1"/>
  <c r="K541" i="16"/>
  <c r="P541" i="16" s="1"/>
  <c r="J541" i="16"/>
  <c r="O541" i="16" s="1"/>
  <c r="M540" i="16"/>
  <c r="R540" i="16" s="1"/>
  <c r="L540" i="16"/>
  <c r="Q540" i="16" s="1"/>
  <c r="K540" i="16"/>
  <c r="P540" i="16" s="1"/>
  <c r="J540" i="16"/>
  <c r="O540" i="16" s="1"/>
  <c r="M539" i="16"/>
  <c r="R539" i="16" s="1"/>
  <c r="L539" i="16"/>
  <c r="Q539" i="16" s="1"/>
  <c r="K539" i="16"/>
  <c r="P539" i="16" s="1"/>
  <c r="J539" i="16"/>
  <c r="M538" i="16"/>
  <c r="R538" i="16" s="1"/>
  <c r="L538" i="16"/>
  <c r="Q538" i="16" s="1"/>
  <c r="K538" i="16"/>
  <c r="P538" i="16" s="1"/>
  <c r="J538" i="16"/>
  <c r="O538" i="16" s="1"/>
  <c r="M537" i="16"/>
  <c r="R537" i="16" s="1"/>
  <c r="L537" i="16"/>
  <c r="Q537" i="16" s="1"/>
  <c r="K537" i="16"/>
  <c r="P537" i="16" s="1"/>
  <c r="J537" i="16"/>
  <c r="M536" i="16"/>
  <c r="R536" i="16" s="1"/>
  <c r="L536" i="16"/>
  <c r="Q536" i="16" s="1"/>
  <c r="K536" i="16"/>
  <c r="P536" i="16" s="1"/>
  <c r="J536" i="16"/>
  <c r="M535" i="16"/>
  <c r="R535" i="16" s="1"/>
  <c r="L535" i="16"/>
  <c r="Q535" i="16" s="1"/>
  <c r="K535" i="16"/>
  <c r="P535" i="16" s="1"/>
  <c r="J535" i="16"/>
  <c r="O535" i="16" s="1"/>
  <c r="M534" i="16"/>
  <c r="R534" i="16" s="1"/>
  <c r="L534" i="16"/>
  <c r="Q534" i="16" s="1"/>
  <c r="K534" i="16"/>
  <c r="P534" i="16" s="1"/>
  <c r="J534" i="16"/>
  <c r="M533" i="16"/>
  <c r="R533" i="16" s="1"/>
  <c r="L533" i="16"/>
  <c r="Q533" i="16" s="1"/>
  <c r="K533" i="16"/>
  <c r="P533" i="16" s="1"/>
  <c r="J533" i="16"/>
  <c r="O533" i="16" s="1"/>
  <c r="M532" i="16"/>
  <c r="R532" i="16" s="1"/>
  <c r="L532" i="16"/>
  <c r="Q532" i="16" s="1"/>
  <c r="K532" i="16"/>
  <c r="P532" i="16" s="1"/>
  <c r="J532" i="16"/>
  <c r="O532" i="16" s="1"/>
  <c r="M531" i="16"/>
  <c r="R531" i="16" s="1"/>
  <c r="L531" i="16"/>
  <c r="Q531" i="16" s="1"/>
  <c r="K531" i="16"/>
  <c r="P531" i="16" s="1"/>
  <c r="J531" i="16"/>
  <c r="M530" i="16"/>
  <c r="R530" i="16" s="1"/>
  <c r="L530" i="16"/>
  <c r="Q530" i="16" s="1"/>
  <c r="K530" i="16"/>
  <c r="P530" i="16" s="1"/>
  <c r="J530" i="16"/>
  <c r="O530" i="16" s="1"/>
  <c r="M529" i="16"/>
  <c r="R529" i="16" s="1"/>
  <c r="L529" i="16"/>
  <c r="Q529" i="16" s="1"/>
  <c r="K529" i="16"/>
  <c r="P529" i="16" s="1"/>
  <c r="J529" i="16"/>
  <c r="M528" i="16"/>
  <c r="R528" i="16" s="1"/>
  <c r="L528" i="16"/>
  <c r="Q528" i="16" s="1"/>
  <c r="K528" i="16"/>
  <c r="P528" i="16" s="1"/>
  <c r="J528" i="16"/>
  <c r="M527" i="16"/>
  <c r="R527" i="16" s="1"/>
  <c r="L527" i="16"/>
  <c r="Q527" i="16" s="1"/>
  <c r="K527" i="16"/>
  <c r="P527" i="16" s="1"/>
  <c r="J527" i="16"/>
  <c r="M526" i="16"/>
  <c r="R526" i="16" s="1"/>
  <c r="L526" i="16"/>
  <c r="Q526" i="16" s="1"/>
  <c r="K526" i="16"/>
  <c r="P526" i="16" s="1"/>
  <c r="J526" i="16"/>
  <c r="M525" i="16"/>
  <c r="R525" i="16" s="1"/>
  <c r="L525" i="16"/>
  <c r="Q525" i="16" s="1"/>
  <c r="K525" i="16"/>
  <c r="P525" i="16" s="1"/>
  <c r="J525" i="16"/>
  <c r="O525" i="16" s="1"/>
  <c r="M524" i="16"/>
  <c r="R524" i="16" s="1"/>
  <c r="L524" i="16"/>
  <c r="Q524" i="16" s="1"/>
  <c r="K524" i="16"/>
  <c r="P524" i="16" s="1"/>
  <c r="J524" i="16"/>
  <c r="O524" i="16" s="1"/>
  <c r="M523" i="16"/>
  <c r="R523" i="16" s="1"/>
  <c r="L523" i="16"/>
  <c r="Q523" i="16" s="1"/>
  <c r="K523" i="16"/>
  <c r="P523" i="16" s="1"/>
  <c r="J523" i="16"/>
  <c r="M522" i="16"/>
  <c r="R522" i="16" s="1"/>
  <c r="L522" i="16"/>
  <c r="Q522" i="16" s="1"/>
  <c r="K522" i="16"/>
  <c r="P522" i="16" s="1"/>
  <c r="J522" i="16"/>
  <c r="O522" i="16" s="1"/>
  <c r="M521" i="16"/>
  <c r="R521" i="16" s="1"/>
  <c r="L521" i="16"/>
  <c r="Q521" i="16" s="1"/>
  <c r="K521" i="16"/>
  <c r="P521" i="16" s="1"/>
  <c r="J521" i="16"/>
  <c r="O521" i="16" s="1"/>
  <c r="M520" i="16"/>
  <c r="R520" i="16" s="1"/>
  <c r="L520" i="16"/>
  <c r="Q520" i="16" s="1"/>
  <c r="K520" i="16"/>
  <c r="P520" i="16" s="1"/>
  <c r="J520" i="16"/>
  <c r="M519" i="16"/>
  <c r="R519" i="16" s="1"/>
  <c r="L519" i="16"/>
  <c r="Q519" i="16" s="1"/>
  <c r="K519" i="16"/>
  <c r="P519" i="16" s="1"/>
  <c r="J519" i="16"/>
  <c r="M518" i="16"/>
  <c r="R518" i="16" s="1"/>
  <c r="L518" i="16"/>
  <c r="Q518" i="16" s="1"/>
  <c r="K518" i="16"/>
  <c r="P518" i="16" s="1"/>
  <c r="J518" i="16"/>
  <c r="M517" i="16"/>
  <c r="R517" i="16" s="1"/>
  <c r="L517" i="16"/>
  <c r="Q517" i="16" s="1"/>
  <c r="K517" i="16"/>
  <c r="P517" i="16" s="1"/>
  <c r="J517" i="16"/>
  <c r="O517" i="16" s="1"/>
  <c r="M516" i="16"/>
  <c r="R516" i="16" s="1"/>
  <c r="L516" i="16"/>
  <c r="Q516" i="16" s="1"/>
  <c r="K516" i="16"/>
  <c r="P516" i="16" s="1"/>
  <c r="J516" i="16"/>
  <c r="O516" i="16" s="1"/>
  <c r="M515" i="16"/>
  <c r="R515" i="16" s="1"/>
  <c r="L515" i="16"/>
  <c r="Q515" i="16" s="1"/>
  <c r="K515" i="16"/>
  <c r="P515" i="16" s="1"/>
  <c r="J515" i="16"/>
  <c r="M514" i="16"/>
  <c r="R514" i="16" s="1"/>
  <c r="L514" i="16"/>
  <c r="Q514" i="16" s="1"/>
  <c r="K514" i="16"/>
  <c r="P514" i="16" s="1"/>
  <c r="J514" i="16"/>
  <c r="O514" i="16" s="1"/>
  <c r="M513" i="16"/>
  <c r="R513" i="16" s="1"/>
  <c r="L513" i="16"/>
  <c r="Q513" i="16" s="1"/>
  <c r="K513" i="16"/>
  <c r="P513" i="16" s="1"/>
  <c r="J513" i="16"/>
  <c r="O513" i="16" s="1"/>
  <c r="M512" i="16"/>
  <c r="R512" i="16" s="1"/>
  <c r="L512" i="16"/>
  <c r="Q512" i="16" s="1"/>
  <c r="K512" i="16"/>
  <c r="P512" i="16" s="1"/>
  <c r="J512" i="16"/>
  <c r="O512" i="16" s="1"/>
  <c r="M511" i="16"/>
  <c r="R511" i="16" s="1"/>
  <c r="L511" i="16"/>
  <c r="Q511" i="16" s="1"/>
  <c r="K511" i="16"/>
  <c r="P511" i="16" s="1"/>
  <c r="J511" i="16"/>
  <c r="O511" i="16" s="1"/>
  <c r="M510" i="16"/>
  <c r="R510" i="16" s="1"/>
  <c r="L510" i="16"/>
  <c r="Q510" i="16" s="1"/>
  <c r="K510" i="16"/>
  <c r="P510" i="16" s="1"/>
  <c r="J510" i="16"/>
  <c r="M509" i="16"/>
  <c r="R509" i="16" s="1"/>
  <c r="L509" i="16"/>
  <c r="Q509" i="16" s="1"/>
  <c r="K509" i="16"/>
  <c r="P509" i="16" s="1"/>
  <c r="J509" i="16"/>
  <c r="M508" i="16"/>
  <c r="R508" i="16" s="1"/>
  <c r="L508" i="16"/>
  <c r="Q508" i="16" s="1"/>
  <c r="K508" i="16"/>
  <c r="P508" i="16" s="1"/>
  <c r="J508" i="16"/>
  <c r="O508" i="16" s="1"/>
  <c r="M507" i="16"/>
  <c r="R507" i="16" s="1"/>
  <c r="L507" i="16"/>
  <c r="Q507" i="16" s="1"/>
  <c r="K507" i="16"/>
  <c r="P507" i="16" s="1"/>
  <c r="J507" i="16"/>
  <c r="M506" i="16"/>
  <c r="R506" i="16" s="1"/>
  <c r="L506" i="16"/>
  <c r="Q506" i="16" s="1"/>
  <c r="K506" i="16"/>
  <c r="P506" i="16" s="1"/>
  <c r="J506" i="16"/>
  <c r="O506" i="16" s="1"/>
  <c r="M505" i="16"/>
  <c r="R505" i="16" s="1"/>
  <c r="L505" i="16"/>
  <c r="Q505" i="16" s="1"/>
  <c r="K505" i="16"/>
  <c r="P505" i="16" s="1"/>
  <c r="J505" i="16"/>
  <c r="O505" i="16" s="1"/>
  <c r="M504" i="16"/>
  <c r="R504" i="16" s="1"/>
  <c r="L504" i="16"/>
  <c r="Q504" i="16" s="1"/>
  <c r="K504" i="16"/>
  <c r="P504" i="16" s="1"/>
  <c r="J504" i="16"/>
  <c r="M503" i="16"/>
  <c r="R503" i="16" s="1"/>
  <c r="L503" i="16"/>
  <c r="Q503" i="16" s="1"/>
  <c r="K503" i="16"/>
  <c r="P503" i="16" s="1"/>
  <c r="J503" i="16"/>
  <c r="M502" i="16"/>
  <c r="R502" i="16" s="1"/>
  <c r="L502" i="16"/>
  <c r="Q502" i="16" s="1"/>
  <c r="K502" i="16"/>
  <c r="P502" i="16" s="1"/>
  <c r="J502" i="16"/>
  <c r="M501" i="16"/>
  <c r="R501" i="16" s="1"/>
  <c r="L501" i="16"/>
  <c r="Q501" i="16" s="1"/>
  <c r="K501" i="16"/>
  <c r="P501" i="16" s="1"/>
  <c r="J501" i="16"/>
  <c r="M500" i="16"/>
  <c r="R500" i="16" s="1"/>
  <c r="L500" i="16"/>
  <c r="Q500" i="16" s="1"/>
  <c r="K500" i="16"/>
  <c r="P500" i="16" s="1"/>
  <c r="J500" i="16"/>
  <c r="O500" i="16" s="1"/>
  <c r="M499" i="16"/>
  <c r="R499" i="16" s="1"/>
  <c r="L499" i="16"/>
  <c r="Q499" i="16" s="1"/>
  <c r="K499" i="16"/>
  <c r="P499" i="16" s="1"/>
  <c r="J499" i="16"/>
  <c r="M498" i="16"/>
  <c r="R498" i="16" s="1"/>
  <c r="L498" i="16"/>
  <c r="Q498" i="16" s="1"/>
  <c r="K498" i="16"/>
  <c r="P498" i="16" s="1"/>
  <c r="J498" i="16"/>
  <c r="O498" i="16" s="1"/>
  <c r="M497" i="16"/>
  <c r="R497" i="16" s="1"/>
  <c r="L497" i="16"/>
  <c r="Q497" i="16" s="1"/>
  <c r="K497" i="16"/>
  <c r="P497" i="16" s="1"/>
  <c r="J497" i="16"/>
  <c r="O497" i="16" s="1"/>
  <c r="M496" i="16"/>
  <c r="R496" i="16" s="1"/>
  <c r="L496" i="16"/>
  <c r="Q496" i="16" s="1"/>
  <c r="K496" i="16"/>
  <c r="P496" i="16" s="1"/>
  <c r="J496" i="16"/>
  <c r="M495" i="16"/>
  <c r="R495" i="16" s="1"/>
  <c r="L495" i="16"/>
  <c r="Q495" i="16" s="1"/>
  <c r="K495" i="16"/>
  <c r="P495" i="16" s="1"/>
  <c r="J495" i="16"/>
  <c r="M494" i="16"/>
  <c r="R494" i="16" s="1"/>
  <c r="L494" i="16"/>
  <c r="Q494" i="16" s="1"/>
  <c r="K494" i="16"/>
  <c r="P494" i="16" s="1"/>
  <c r="J494" i="16"/>
  <c r="O494" i="16" s="1"/>
  <c r="M493" i="16"/>
  <c r="R493" i="16" s="1"/>
  <c r="L493" i="16"/>
  <c r="Q493" i="16" s="1"/>
  <c r="K493" i="16"/>
  <c r="P493" i="16" s="1"/>
  <c r="J493" i="16"/>
  <c r="O493" i="16" s="1"/>
  <c r="M492" i="16"/>
  <c r="R492" i="16" s="1"/>
  <c r="L492" i="16"/>
  <c r="Q492" i="16" s="1"/>
  <c r="K492" i="16"/>
  <c r="P492" i="16" s="1"/>
  <c r="J492" i="16"/>
  <c r="O492" i="16" s="1"/>
  <c r="M491" i="16"/>
  <c r="R491" i="16" s="1"/>
  <c r="L491" i="16"/>
  <c r="Q491" i="16" s="1"/>
  <c r="K491" i="16"/>
  <c r="P491" i="16" s="1"/>
  <c r="J491" i="16"/>
  <c r="M490" i="16"/>
  <c r="R490" i="16" s="1"/>
  <c r="L490" i="16"/>
  <c r="Q490" i="16" s="1"/>
  <c r="K490" i="16"/>
  <c r="P490" i="16" s="1"/>
  <c r="J490" i="16"/>
  <c r="M489" i="16"/>
  <c r="R489" i="16" s="1"/>
  <c r="L489" i="16"/>
  <c r="Q489" i="16" s="1"/>
  <c r="K489" i="16"/>
  <c r="P489" i="16" s="1"/>
  <c r="J489" i="16"/>
  <c r="O489" i="16" s="1"/>
  <c r="M488" i="16"/>
  <c r="R488" i="16" s="1"/>
  <c r="L488" i="16"/>
  <c r="Q488" i="16" s="1"/>
  <c r="K488" i="16"/>
  <c r="J488" i="16"/>
  <c r="O488" i="16" s="1"/>
  <c r="M487" i="16"/>
  <c r="R487" i="16" s="1"/>
  <c r="L487" i="16"/>
  <c r="Q487" i="16" s="1"/>
  <c r="K487" i="16"/>
  <c r="P487" i="16" s="1"/>
  <c r="J487" i="16"/>
  <c r="M486" i="16"/>
  <c r="R486" i="16" s="1"/>
  <c r="L486" i="16"/>
  <c r="Q486" i="16" s="1"/>
  <c r="K486" i="16"/>
  <c r="P486" i="16" s="1"/>
  <c r="J486" i="16"/>
  <c r="M485" i="16"/>
  <c r="R485" i="16" s="1"/>
  <c r="L485" i="16"/>
  <c r="Q485" i="16" s="1"/>
  <c r="K485" i="16"/>
  <c r="P485" i="16" s="1"/>
  <c r="J485" i="16"/>
  <c r="M484" i="16"/>
  <c r="R484" i="16" s="1"/>
  <c r="L484" i="16"/>
  <c r="Q484" i="16" s="1"/>
  <c r="K484" i="16"/>
  <c r="P484" i="16" s="1"/>
  <c r="J484" i="16"/>
  <c r="O484" i="16" s="1"/>
  <c r="M483" i="16"/>
  <c r="R483" i="16" s="1"/>
  <c r="L483" i="16"/>
  <c r="Q483" i="16" s="1"/>
  <c r="K483" i="16"/>
  <c r="P483" i="16" s="1"/>
  <c r="J483" i="16"/>
  <c r="O483" i="16" s="1"/>
  <c r="M482" i="16"/>
  <c r="R482" i="16" s="1"/>
  <c r="L482" i="16"/>
  <c r="Q482" i="16" s="1"/>
  <c r="K482" i="16"/>
  <c r="P482" i="16" s="1"/>
  <c r="J482" i="16"/>
  <c r="M481" i="16"/>
  <c r="R481" i="16" s="1"/>
  <c r="L481" i="16"/>
  <c r="Q481" i="16" s="1"/>
  <c r="K481" i="16"/>
  <c r="P481" i="16" s="1"/>
  <c r="J481" i="16"/>
  <c r="M480" i="16"/>
  <c r="R480" i="16" s="1"/>
  <c r="L480" i="16"/>
  <c r="Q480" i="16" s="1"/>
  <c r="K480" i="16"/>
  <c r="P480" i="16" s="1"/>
  <c r="J480" i="16"/>
  <c r="M479" i="16"/>
  <c r="R479" i="16" s="1"/>
  <c r="L479" i="16"/>
  <c r="Q479" i="16" s="1"/>
  <c r="K479" i="16"/>
  <c r="P479" i="16" s="1"/>
  <c r="J479" i="16"/>
  <c r="M478" i="16"/>
  <c r="R478" i="16" s="1"/>
  <c r="L478" i="16"/>
  <c r="Q478" i="16" s="1"/>
  <c r="K478" i="16"/>
  <c r="P478" i="16" s="1"/>
  <c r="J478" i="16"/>
  <c r="M477" i="16"/>
  <c r="R477" i="16" s="1"/>
  <c r="L477" i="16"/>
  <c r="Q477" i="16" s="1"/>
  <c r="K477" i="16"/>
  <c r="P477" i="16" s="1"/>
  <c r="J477" i="16"/>
  <c r="M476" i="16"/>
  <c r="R476" i="16" s="1"/>
  <c r="L476" i="16"/>
  <c r="Q476" i="16" s="1"/>
  <c r="K476" i="16"/>
  <c r="P476" i="16" s="1"/>
  <c r="J476" i="16"/>
  <c r="O476" i="16" s="1"/>
  <c r="M475" i="16"/>
  <c r="R475" i="16" s="1"/>
  <c r="L475" i="16"/>
  <c r="Q475" i="16" s="1"/>
  <c r="K475" i="16"/>
  <c r="P475" i="16" s="1"/>
  <c r="J475" i="16"/>
  <c r="O475" i="16" s="1"/>
  <c r="M474" i="16"/>
  <c r="R474" i="16" s="1"/>
  <c r="L474" i="16"/>
  <c r="Q474" i="16" s="1"/>
  <c r="K474" i="16"/>
  <c r="P474" i="16" s="1"/>
  <c r="J474" i="16"/>
  <c r="M473" i="16"/>
  <c r="R473" i="16" s="1"/>
  <c r="L473" i="16"/>
  <c r="Q473" i="16" s="1"/>
  <c r="K473" i="16"/>
  <c r="P473" i="16" s="1"/>
  <c r="J473" i="16"/>
  <c r="M472" i="16"/>
  <c r="R472" i="16" s="1"/>
  <c r="L472" i="16"/>
  <c r="Q472" i="16" s="1"/>
  <c r="K472" i="16"/>
  <c r="P472" i="16" s="1"/>
  <c r="J472" i="16"/>
  <c r="M471" i="16"/>
  <c r="R471" i="16" s="1"/>
  <c r="L471" i="16"/>
  <c r="Q471" i="16" s="1"/>
  <c r="K471" i="16"/>
  <c r="P471" i="16" s="1"/>
  <c r="J471" i="16"/>
  <c r="M470" i="16"/>
  <c r="R470" i="16" s="1"/>
  <c r="L470" i="16"/>
  <c r="Q470" i="16" s="1"/>
  <c r="K470" i="16"/>
  <c r="P470" i="16" s="1"/>
  <c r="J470" i="16"/>
  <c r="O470" i="16" s="1"/>
  <c r="M469" i="16"/>
  <c r="R469" i="16" s="1"/>
  <c r="L469" i="16"/>
  <c r="Q469" i="16" s="1"/>
  <c r="K469" i="16"/>
  <c r="P469" i="16" s="1"/>
  <c r="J469" i="16"/>
  <c r="M468" i="16"/>
  <c r="R468" i="16" s="1"/>
  <c r="L468" i="16"/>
  <c r="Q468" i="16" s="1"/>
  <c r="K468" i="16"/>
  <c r="P468" i="16" s="1"/>
  <c r="J468" i="16"/>
  <c r="O468" i="16" s="1"/>
  <c r="M467" i="16"/>
  <c r="R467" i="16" s="1"/>
  <c r="L467" i="16"/>
  <c r="Q467" i="16" s="1"/>
  <c r="K467" i="16"/>
  <c r="P467" i="16" s="1"/>
  <c r="J467" i="16"/>
  <c r="O467" i="16" s="1"/>
  <c r="M466" i="16"/>
  <c r="R466" i="16" s="1"/>
  <c r="L466" i="16"/>
  <c r="Q466" i="16" s="1"/>
  <c r="K466" i="16"/>
  <c r="P466" i="16" s="1"/>
  <c r="J466" i="16"/>
  <c r="M465" i="16"/>
  <c r="R465" i="16" s="1"/>
  <c r="L465" i="16"/>
  <c r="Q465" i="16" s="1"/>
  <c r="K465" i="16"/>
  <c r="P465" i="16" s="1"/>
  <c r="J465" i="16"/>
  <c r="M464" i="16"/>
  <c r="R464" i="16" s="1"/>
  <c r="L464" i="16"/>
  <c r="Q464" i="16" s="1"/>
  <c r="K464" i="16"/>
  <c r="P464" i="16" s="1"/>
  <c r="J464" i="16"/>
  <c r="M463" i="16"/>
  <c r="R463" i="16" s="1"/>
  <c r="L463" i="16"/>
  <c r="Q463" i="16" s="1"/>
  <c r="K463" i="16"/>
  <c r="P463" i="16" s="1"/>
  <c r="J463" i="16"/>
  <c r="M462" i="16"/>
  <c r="R462" i="16" s="1"/>
  <c r="L462" i="16"/>
  <c r="Q462" i="16" s="1"/>
  <c r="K462" i="16"/>
  <c r="P462" i="16" s="1"/>
  <c r="J462" i="16"/>
  <c r="O462" i="16" s="1"/>
  <c r="M461" i="16"/>
  <c r="R461" i="16" s="1"/>
  <c r="L461" i="16"/>
  <c r="Q461" i="16" s="1"/>
  <c r="K461" i="16"/>
  <c r="P461" i="16" s="1"/>
  <c r="J461" i="16"/>
  <c r="M460" i="16"/>
  <c r="R460" i="16" s="1"/>
  <c r="L460" i="16"/>
  <c r="Q460" i="16" s="1"/>
  <c r="K460" i="16"/>
  <c r="P460" i="16" s="1"/>
  <c r="J460" i="16"/>
  <c r="O460" i="16" s="1"/>
  <c r="M459" i="16"/>
  <c r="R459" i="16" s="1"/>
  <c r="L459" i="16"/>
  <c r="Q459" i="16" s="1"/>
  <c r="K459" i="16"/>
  <c r="P459" i="16" s="1"/>
  <c r="J459" i="16"/>
  <c r="O459" i="16" s="1"/>
  <c r="M458" i="16"/>
  <c r="R458" i="16" s="1"/>
  <c r="L458" i="16"/>
  <c r="Q458" i="16" s="1"/>
  <c r="K458" i="16"/>
  <c r="P458" i="16" s="1"/>
  <c r="J458" i="16"/>
  <c r="M457" i="16"/>
  <c r="R457" i="16" s="1"/>
  <c r="L457" i="16"/>
  <c r="Q457" i="16" s="1"/>
  <c r="K457" i="16"/>
  <c r="P457" i="16" s="1"/>
  <c r="J457" i="16"/>
  <c r="M456" i="16"/>
  <c r="R456" i="16" s="1"/>
  <c r="L456" i="16"/>
  <c r="Q456" i="16" s="1"/>
  <c r="K456" i="16"/>
  <c r="P456" i="16" s="1"/>
  <c r="J456" i="16"/>
  <c r="M455" i="16"/>
  <c r="R455" i="16" s="1"/>
  <c r="L455" i="16"/>
  <c r="Q455" i="16" s="1"/>
  <c r="K455" i="16"/>
  <c r="P455" i="16" s="1"/>
  <c r="J455" i="16"/>
  <c r="M454" i="16"/>
  <c r="R454" i="16" s="1"/>
  <c r="L454" i="16"/>
  <c r="Q454" i="16" s="1"/>
  <c r="K454" i="16"/>
  <c r="P454" i="16" s="1"/>
  <c r="J454" i="16"/>
  <c r="M453" i="16"/>
  <c r="R453" i="16" s="1"/>
  <c r="L453" i="16"/>
  <c r="Q453" i="16" s="1"/>
  <c r="K453" i="16"/>
  <c r="P453" i="16" s="1"/>
  <c r="J453" i="16"/>
  <c r="M452" i="16"/>
  <c r="R452" i="16" s="1"/>
  <c r="L452" i="16"/>
  <c r="Q452" i="16" s="1"/>
  <c r="K452" i="16"/>
  <c r="P452" i="16" s="1"/>
  <c r="J452" i="16"/>
  <c r="O452" i="16" s="1"/>
  <c r="M451" i="16"/>
  <c r="R451" i="16" s="1"/>
  <c r="L451" i="16"/>
  <c r="Q451" i="16" s="1"/>
  <c r="K451" i="16"/>
  <c r="P451" i="16" s="1"/>
  <c r="J451" i="16"/>
  <c r="O451" i="16" s="1"/>
  <c r="M450" i="16"/>
  <c r="R450" i="16" s="1"/>
  <c r="L450" i="16"/>
  <c r="Q450" i="16" s="1"/>
  <c r="K450" i="16"/>
  <c r="P450" i="16" s="1"/>
  <c r="J450" i="16"/>
  <c r="M449" i="16"/>
  <c r="R449" i="16" s="1"/>
  <c r="L449" i="16"/>
  <c r="Q449" i="16" s="1"/>
  <c r="K449" i="16"/>
  <c r="P449" i="16" s="1"/>
  <c r="J449" i="16"/>
  <c r="M448" i="16"/>
  <c r="R448" i="16" s="1"/>
  <c r="L448" i="16"/>
  <c r="Q448" i="16" s="1"/>
  <c r="K448" i="16"/>
  <c r="P448" i="16" s="1"/>
  <c r="J448" i="16"/>
  <c r="M447" i="16"/>
  <c r="R447" i="16" s="1"/>
  <c r="L447" i="16"/>
  <c r="Q447" i="16" s="1"/>
  <c r="K447" i="16"/>
  <c r="P447" i="16" s="1"/>
  <c r="J447" i="16"/>
  <c r="M446" i="16"/>
  <c r="R446" i="16" s="1"/>
  <c r="L446" i="16"/>
  <c r="Q446" i="16" s="1"/>
  <c r="K446" i="16"/>
  <c r="P446" i="16" s="1"/>
  <c r="J446" i="16"/>
  <c r="M445" i="16"/>
  <c r="R445" i="16" s="1"/>
  <c r="L445" i="16"/>
  <c r="Q445" i="16" s="1"/>
  <c r="K445" i="16"/>
  <c r="P445" i="16" s="1"/>
  <c r="J445" i="16"/>
  <c r="M444" i="16"/>
  <c r="R444" i="16" s="1"/>
  <c r="L444" i="16"/>
  <c r="Q444" i="16" s="1"/>
  <c r="K444" i="16"/>
  <c r="P444" i="16" s="1"/>
  <c r="J444" i="16"/>
  <c r="O444" i="16" s="1"/>
  <c r="M443" i="16"/>
  <c r="R443" i="16" s="1"/>
  <c r="L443" i="16"/>
  <c r="Q443" i="16" s="1"/>
  <c r="K443" i="16"/>
  <c r="P443" i="16" s="1"/>
  <c r="J443" i="16"/>
  <c r="O443" i="16" s="1"/>
  <c r="M442" i="16"/>
  <c r="R442" i="16" s="1"/>
  <c r="L442" i="16"/>
  <c r="Q442" i="16" s="1"/>
  <c r="K442" i="16"/>
  <c r="P442" i="16" s="1"/>
  <c r="J442" i="16"/>
  <c r="M441" i="16"/>
  <c r="R441" i="16" s="1"/>
  <c r="L441" i="16"/>
  <c r="Q441" i="16" s="1"/>
  <c r="K441" i="16"/>
  <c r="P441" i="16" s="1"/>
  <c r="J441" i="16"/>
  <c r="M440" i="16"/>
  <c r="R440" i="16" s="1"/>
  <c r="L440" i="16"/>
  <c r="Q440" i="16" s="1"/>
  <c r="K440" i="16"/>
  <c r="P440" i="16" s="1"/>
  <c r="J440" i="16"/>
  <c r="M439" i="16"/>
  <c r="R439" i="16" s="1"/>
  <c r="L439" i="16"/>
  <c r="Q439" i="16" s="1"/>
  <c r="K439" i="16"/>
  <c r="P439" i="16" s="1"/>
  <c r="J439" i="16"/>
  <c r="M438" i="16"/>
  <c r="R438" i="16" s="1"/>
  <c r="L438" i="16"/>
  <c r="Q438" i="16" s="1"/>
  <c r="K438" i="16"/>
  <c r="P438" i="16" s="1"/>
  <c r="J438" i="16"/>
  <c r="O438" i="16" s="1"/>
  <c r="M437" i="16"/>
  <c r="R437" i="16" s="1"/>
  <c r="L437" i="16"/>
  <c r="Q437" i="16" s="1"/>
  <c r="K437" i="16"/>
  <c r="P437" i="16" s="1"/>
  <c r="J437" i="16"/>
  <c r="M436" i="16"/>
  <c r="R436" i="16" s="1"/>
  <c r="L436" i="16"/>
  <c r="Q436" i="16" s="1"/>
  <c r="K436" i="16"/>
  <c r="P436" i="16" s="1"/>
  <c r="J436" i="16"/>
  <c r="O436" i="16" s="1"/>
  <c r="M435" i="16"/>
  <c r="R435" i="16" s="1"/>
  <c r="L435" i="16"/>
  <c r="Q435" i="16" s="1"/>
  <c r="K435" i="16"/>
  <c r="P435" i="16" s="1"/>
  <c r="J435" i="16"/>
  <c r="O435" i="16" s="1"/>
  <c r="M434" i="16"/>
  <c r="R434" i="16" s="1"/>
  <c r="L434" i="16"/>
  <c r="Q434" i="16" s="1"/>
  <c r="K434" i="16"/>
  <c r="P434" i="16" s="1"/>
  <c r="J434" i="16"/>
  <c r="M433" i="16"/>
  <c r="R433" i="16" s="1"/>
  <c r="L433" i="16"/>
  <c r="Q433" i="16" s="1"/>
  <c r="K433" i="16"/>
  <c r="P433" i="16" s="1"/>
  <c r="J433" i="16"/>
  <c r="M432" i="16"/>
  <c r="R432" i="16" s="1"/>
  <c r="L432" i="16"/>
  <c r="Q432" i="16" s="1"/>
  <c r="K432" i="16"/>
  <c r="P432" i="16" s="1"/>
  <c r="J432" i="16"/>
  <c r="M431" i="16"/>
  <c r="R431" i="16" s="1"/>
  <c r="L431" i="16"/>
  <c r="Q431" i="16" s="1"/>
  <c r="K431" i="16"/>
  <c r="P431" i="16" s="1"/>
  <c r="J431" i="16"/>
  <c r="M430" i="16"/>
  <c r="R430" i="16" s="1"/>
  <c r="L430" i="16"/>
  <c r="Q430" i="16" s="1"/>
  <c r="K430" i="16"/>
  <c r="P430" i="16" s="1"/>
  <c r="J430" i="16"/>
  <c r="M429" i="16"/>
  <c r="R429" i="16" s="1"/>
  <c r="L429" i="16"/>
  <c r="Q429" i="16" s="1"/>
  <c r="K429" i="16"/>
  <c r="P429" i="16" s="1"/>
  <c r="J429" i="16"/>
  <c r="M428" i="16"/>
  <c r="R428" i="16" s="1"/>
  <c r="L428" i="16"/>
  <c r="Q428" i="16" s="1"/>
  <c r="K428" i="16"/>
  <c r="P428" i="16" s="1"/>
  <c r="J428" i="16"/>
  <c r="O428" i="16" s="1"/>
  <c r="M427" i="16"/>
  <c r="R427" i="16" s="1"/>
  <c r="L427" i="16"/>
  <c r="Q427" i="16" s="1"/>
  <c r="K427" i="16"/>
  <c r="P427" i="16" s="1"/>
  <c r="J427" i="16"/>
  <c r="O427" i="16" s="1"/>
  <c r="M426" i="16"/>
  <c r="R426" i="16" s="1"/>
  <c r="L426" i="16"/>
  <c r="Q426" i="16" s="1"/>
  <c r="K426" i="16"/>
  <c r="P426" i="16" s="1"/>
  <c r="J426" i="16"/>
  <c r="M425" i="16"/>
  <c r="R425" i="16" s="1"/>
  <c r="L425" i="16"/>
  <c r="Q425" i="16" s="1"/>
  <c r="K425" i="16"/>
  <c r="P425" i="16" s="1"/>
  <c r="J425" i="16"/>
  <c r="M424" i="16"/>
  <c r="R424" i="16" s="1"/>
  <c r="L424" i="16"/>
  <c r="Q424" i="16" s="1"/>
  <c r="K424" i="16"/>
  <c r="P424" i="16" s="1"/>
  <c r="J424" i="16"/>
  <c r="M423" i="16"/>
  <c r="R423" i="16" s="1"/>
  <c r="L423" i="16"/>
  <c r="Q423" i="16" s="1"/>
  <c r="K423" i="16"/>
  <c r="P423" i="16" s="1"/>
  <c r="J423" i="16"/>
  <c r="M422" i="16"/>
  <c r="R422" i="16" s="1"/>
  <c r="L422" i="16"/>
  <c r="Q422" i="16" s="1"/>
  <c r="K422" i="16"/>
  <c r="P422" i="16" s="1"/>
  <c r="J422" i="16"/>
  <c r="M421" i="16"/>
  <c r="R421" i="16" s="1"/>
  <c r="L421" i="16"/>
  <c r="Q421" i="16" s="1"/>
  <c r="K421" i="16"/>
  <c r="P421" i="16" s="1"/>
  <c r="J421" i="16"/>
  <c r="M420" i="16"/>
  <c r="R420" i="16" s="1"/>
  <c r="L420" i="16"/>
  <c r="Q420" i="16" s="1"/>
  <c r="K420" i="16"/>
  <c r="P420" i="16" s="1"/>
  <c r="J420" i="16"/>
  <c r="O420" i="16" s="1"/>
  <c r="M419" i="16"/>
  <c r="R419" i="16" s="1"/>
  <c r="L419" i="16"/>
  <c r="Q419" i="16" s="1"/>
  <c r="K419" i="16"/>
  <c r="J419" i="16"/>
  <c r="O419" i="16" s="1"/>
  <c r="M418" i="16"/>
  <c r="R418" i="16" s="1"/>
  <c r="L418" i="16"/>
  <c r="Q418" i="16" s="1"/>
  <c r="K418" i="16"/>
  <c r="P418" i="16" s="1"/>
  <c r="J418" i="16"/>
  <c r="M417" i="16"/>
  <c r="R417" i="16" s="1"/>
  <c r="L417" i="16"/>
  <c r="Q417" i="16" s="1"/>
  <c r="K417" i="16"/>
  <c r="P417" i="16" s="1"/>
  <c r="J417" i="16"/>
  <c r="M416" i="16"/>
  <c r="R416" i="16" s="1"/>
  <c r="L416" i="16"/>
  <c r="Q416" i="16" s="1"/>
  <c r="K416" i="16"/>
  <c r="P416" i="16" s="1"/>
  <c r="J416" i="16"/>
  <c r="M415" i="16"/>
  <c r="R415" i="16" s="1"/>
  <c r="L415" i="16"/>
  <c r="Q415" i="16" s="1"/>
  <c r="K415" i="16"/>
  <c r="P415" i="16" s="1"/>
  <c r="J415" i="16"/>
  <c r="M414" i="16"/>
  <c r="R414" i="16" s="1"/>
  <c r="L414" i="16"/>
  <c r="Q414" i="16" s="1"/>
  <c r="K414" i="16"/>
  <c r="P414" i="16" s="1"/>
  <c r="J414" i="16"/>
  <c r="M413" i="16"/>
  <c r="R413" i="16" s="1"/>
  <c r="L413" i="16"/>
  <c r="Q413" i="16" s="1"/>
  <c r="K413" i="16"/>
  <c r="P413" i="16" s="1"/>
  <c r="J413" i="16"/>
  <c r="M412" i="16"/>
  <c r="R412" i="16" s="1"/>
  <c r="L412" i="16"/>
  <c r="Q412" i="16" s="1"/>
  <c r="K412" i="16"/>
  <c r="P412" i="16" s="1"/>
  <c r="J412" i="16"/>
  <c r="O412" i="16" s="1"/>
  <c r="M411" i="16"/>
  <c r="R411" i="16" s="1"/>
  <c r="L411" i="16"/>
  <c r="Q411" i="16" s="1"/>
  <c r="K411" i="16"/>
  <c r="P411" i="16" s="1"/>
  <c r="J411" i="16"/>
  <c r="O411" i="16" s="1"/>
  <c r="M410" i="16"/>
  <c r="R410" i="16" s="1"/>
  <c r="L410" i="16"/>
  <c r="Q410" i="16" s="1"/>
  <c r="K410" i="16"/>
  <c r="P410" i="16" s="1"/>
  <c r="J410" i="16"/>
  <c r="M409" i="16"/>
  <c r="R409" i="16" s="1"/>
  <c r="L409" i="16"/>
  <c r="Q409" i="16" s="1"/>
  <c r="K409" i="16"/>
  <c r="P409" i="16" s="1"/>
  <c r="J409" i="16"/>
  <c r="M408" i="16"/>
  <c r="R408" i="16" s="1"/>
  <c r="L408" i="16"/>
  <c r="Q408" i="16" s="1"/>
  <c r="K408" i="16"/>
  <c r="P408" i="16" s="1"/>
  <c r="J408" i="16"/>
  <c r="M407" i="16"/>
  <c r="R407" i="16" s="1"/>
  <c r="L407" i="16"/>
  <c r="Q407" i="16" s="1"/>
  <c r="K407" i="16"/>
  <c r="P407" i="16" s="1"/>
  <c r="J407" i="16"/>
  <c r="M406" i="16"/>
  <c r="R406" i="16" s="1"/>
  <c r="L406" i="16"/>
  <c r="Q406" i="16" s="1"/>
  <c r="K406" i="16"/>
  <c r="P406" i="16" s="1"/>
  <c r="J406" i="16"/>
  <c r="O406" i="16" s="1"/>
  <c r="M405" i="16"/>
  <c r="R405" i="16" s="1"/>
  <c r="L405" i="16"/>
  <c r="Q405" i="16" s="1"/>
  <c r="K405" i="16"/>
  <c r="P405" i="16" s="1"/>
  <c r="J405" i="16"/>
  <c r="M404" i="16"/>
  <c r="R404" i="16" s="1"/>
  <c r="L404" i="16"/>
  <c r="Q404" i="16" s="1"/>
  <c r="K404" i="16"/>
  <c r="P404" i="16" s="1"/>
  <c r="J404" i="16"/>
  <c r="O404" i="16" s="1"/>
  <c r="M403" i="16"/>
  <c r="R403" i="16" s="1"/>
  <c r="L403" i="16"/>
  <c r="Q403" i="16" s="1"/>
  <c r="K403" i="16"/>
  <c r="P403" i="16" s="1"/>
  <c r="J403" i="16"/>
  <c r="O403" i="16" s="1"/>
  <c r="M402" i="16"/>
  <c r="R402" i="16" s="1"/>
  <c r="L402" i="16"/>
  <c r="Q402" i="16" s="1"/>
  <c r="K402" i="16"/>
  <c r="P402" i="16" s="1"/>
  <c r="J402" i="16"/>
  <c r="M401" i="16"/>
  <c r="R401" i="16" s="1"/>
  <c r="L401" i="16"/>
  <c r="Q401" i="16" s="1"/>
  <c r="K401" i="16"/>
  <c r="P401" i="16" s="1"/>
  <c r="J401" i="16"/>
  <c r="O401" i="16" s="1"/>
  <c r="M400" i="16"/>
  <c r="R400" i="16" s="1"/>
  <c r="L400" i="16"/>
  <c r="Q400" i="16" s="1"/>
  <c r="K400" i="16"/>
  <c r="P400" i="16" s="1"/>
  <c r="J400" i="16"/>
  <c r="M399" i="16"/>
  <c r="R399" i="16" s="1"/>
  <c r="L399" i="16"/>
  <c r="Q399" i="16" s="1"/>
  <c r="K399" i="16"/>
  <c r="P399" i="16" s="1"/>
  <c r="J399" i="16"/>
  <c r="M398" i="16"/>
  <c r="R398" i="16" s="1"/>
  <c r="L398" i="16"/>
  <c r="Q398" i="16" s="1"/>
  <c r="K398" i="16"/>
  <c r="P398" i="16" s="1"/>
  <c r="J398" i="16"/>
  <c r="O398" i="16" s="1"/>
  <c r="M397" i="16"/>
  <c r="R397" i="16" s="1"/>
  <c r="L397" i="16"/>
  <c r="Q397" i="16" s="1"/>
  <c r="K397" i="16"/>
  <c r="P397" i="16" s="1"/>
  <c r="J397" i="16"/>
  <c r="M396" i="16"/>
  <c r="R396" i="16" s="1"/>
  <c r="L396" i="16"/>
  <c r="Q396" i="16" s="1"/>
  <c r="K396" i="16"/>
  <c r="P396" i="16" s="1"/>
  <c r="J396" i="16"/>
  <c r="O396" i="16" s="1"/>
  <c r="M395" i="16"/>
  <c r="R395" i="16" s="1"/>
  <c r="L395" i="16"/>
  <c r="Q395" i="16" s="1"/>
  <c r="K395" i="16"/>
  <c r="P395" i="16" s="1"/>
  <c r="J395" i="16"/>
  <c r="O395" i="16" s="1"/>
  <c r="M394" i="16"/>
  <c r="R394" i="16" s="1"/>
  <c r="L394" i="16"/>
  <c r="Q394" i="16" s="1"/>
  <c r="K394" i="16"/>
  <c r="P394" i="16" s="1"/>
  <c r="J394" i="16"/>
  <c r="M393" i="16"/>
  <c r="R393" i="16" s="1"/>
  <c r="L393" i="16"/>
  <c r="Q393" i="16" s="1"/>
  <c r="K393" i="16"/>
  <c r="P393" i="16" s="1"/>
  <c r="J393" i="16"/>
  <c r="M392" i="16"/>
  <c r="R392" i="16" s="1"/>
  <c r="L392" i="16"/>
  <c r="Q392" i="16" s="1"/>
  <c r="K392" i="16"/>
  <c r="P392" i="16" s="1"/>
  <c r="J392" i="16"/>
  <c r="M391" i="16"/>
  <c r="R391" i="16" s="1"/>
  <c r="L391" i="16"/>
  <c r="Q391" i="16" s="1"/>
  <c r="K391" i="16"/>
  <c r="P391" i="16" s="1"/>
  <c r="J391" i="16"/>
  <c r="M390" i="16"/>
  <c r="R390" i="16" s="1"/>
  <c r="L390" i="16"/>
  <c r="Q390" i="16" s="1"/>
  <c r="K390" i="16"/>
  <c r="P390" i="16" s="1"/>
  <c r="J390" i="16"/>
  <c r="M389" i="16"/>
  <c r="R389" i="16" s="1"/>
  <c r="L389" i="16"/>
  <c r="Q389" i="16" s="1"/>
  <c r="K389" i="16"/>
  <c r="P389" i="16" s="1"/>
  <c r="J389" i="16"/>
  <c r="M388" i="16"/>
  <c r="R388" i="16" s="1"/>
  <c r="L388" i="16"/>
  <c r="Q388" i="16" s="1"/>
  <c r="K388" i="16"/>
  <c r="P388" i="16" s="1"/>
  <c r="J388" i="16"/>
  <c r="O388" i="16" s="1"/>
  <c r="M387" i="16"/>
  <c r="R387" i="16" s="1"/>
  <c r="L387" i="16"/>
  <c r="Q387" i="16" s="1"/>
  <c r="K387" i="16"/>
  <c r="P387" i="16" s="1"/>
  <c r="J387" i="16"/>
  <c r="O387" i="16" s="1"/>
  <c r="M386" i="16"/>
  <c r="R386" i="16" s="1"/>
  <c r="L386" i="16"/>
  <c r="Q386" i="16" s="1"/>
  <c r="K386" i="16"/>
  <c r="P386" i="16" s="1"/>
  <c r="J386" i="16"/>
  <c r="M385" i="16"/>
  <c r="R385" i="16" s="1"/>
  <c r="L385" i="16"/>
  <c r="Q385" i="16" s="1"/>
  <c r="K385" i="16"/>
  <c r="P385" i="16" s="1"/>
  <c r="J385" i="16"/>
  <c r="M384" i="16"/>
  <c r="R384" i="16" s="1"/>
  <c r="L384" i="16"/>
  <c r="Q384" i="16" s="1"/>
  <c r="K384" i="16"/>
  <c r="P384" i="16" s="1"/>
  <c r="J384" i="16"/>
  <c r="M383" i="16"/>
  <c r="R383" i="16" s="1"/>
  <c r="L383" i="16"/>
  <c r="Q383" i="16" s="1"/>
  <c r="K383" i="16"/>
  <c r="P383" i="16" s="1"/>
  <c r="J383" i="16"/>
  <c r="M382" i="16"/>
  <c r="R382" i="16" s="1"/>
  <c r="L382" i="16"/>
  <c r="Q382" i="16" s="1"/>
  <c r="K382" i="16"/>
  <c r="P382" i="16" s="1"/>
  <c r="J382" i="16"/>
  <c r="O382" i="16" s="1"/>
  <c r="M381" i="16"/>
  <c r="R381" i="16" s="1"/>
  <c r="L381" i="16"/>
  <c r="Q381" i="16" s="1"/>
  <c r="K381" i="16"/>
  <c r="P381" i="16" s="1"/>
  <c r="J381" i="16"/>
  <c r="M380" i="16"/>
  <c r="R380" i="16" s="1"/>
  <c r="L380" i="16"/>
  <c r="Q380" i="16" s="1"/>
  <c r="K380" i="16"/>
  <c r="P380" i="16" s="1"/>
  <c r="J380" i="16"/>
  <c r="O380" i="16" s="1"/>
  <c r="M379" i="16"/>
  <c r="R379" i="16" s="1"/>
  <c r="L379" i="16"/>
  <c r="Q379" i="16" s="1"/>
  <c r="K379" i="16"/>
  <c r="P379" i="16" s="1"/>
  <c r="J379" i="16"/>
  <c r="O379" i="16" s="1"/>
  <c r="M378" i="16"/>
  <c r="R378" i="16" s="1"/>
  <c r="L378" i="16"/>
  <c r="Q378" i="16" s="1"/>
  <c r="K378" i="16"/>
  <c r="P378" i="16" s="1"/>
  <c r="J378" i="16"/>
  <c r="M377" i="16"/>
  <c r="R377" i="16" s="1"/>
  <c r="L377" i="16"/>
  <c r="Q377" i="16" s="1"/>
  <c r="K377" i="16"/>
  <c r="P377" i="16" s="1"/>
  <c r="J377" i="16"/>
  <c r="M376" i="16"/>
  <c r="R376" i="16" s="1"/>
  <c r="L376" i="16"/>
  <c r="Q376" i="16" s="1"/>
  <c r="K376" i="16"/>
  <c r="P376" i="16" s="1"/>
  <c r="J376" i="16"/>
  <c r="M375" i="16"/>
  <c r="R375" i="16" s="1"/>
  <c r="L375" i="16"/>
  <c r="Q375" i="16" s="1"/>
  <c r="K375" i="16"/>
  <c r="P375" i="16" s="1"/>
  <c r="J375" i="16"/>
  <c r="O375" i="16" s="1"/>
  <c r="M374" i="16"/>
  <c r="R374" i="16" s="1"/>
  <c r="L374" i="16"/>
  <c r="Q374" i="16" s="1"/>
  <c r="K374" i="16"/>
  <c r="P374" i="16" s="1"/>
  <c r="J374" i="16"/>
  <c r="M373" i="16"/>
  <c r="R373" i="16" s="1"/>
  <c r="L373" i="16"/>
  <c r="Q373" i="16" s="1"/>
  <c r="K373" i="16"/>
  <c r="P373" i="16" s="1"/>
  <c r="J373" i="16"/>
  <c r="M372" i="16"/>
  <c r="R372" i="16" s="1"/>
  <c r="L372" i="16"/>
  <c r="Q372" i="16" s="1"/>
  <c r="K372" i="16"/>
  <c r="P372" i="16" s="1"/>
  <c r="J372" i="16"/>
  <c r="O372" i="16" s="1"/>
  <c r="M371" i="16"/>
  <c r="R371" i="16" s="1"/>
  <c r="L371" i="16"/>
  <c r="Q371" i="16" s="1"/>
  <c r="K371" i="16"/>
  <c r="P371" i="16" s="1"/>
  <c r="J371" i="16"/>
  <c r="O371" i="16" s="1"/>
  <c r="M370" i="16"/>
  <c r="R370" i="16" s="1"/>
  <c r="L370" i="16"/>
  <c r="Q370" i="16" s="1"/>
  <c r="K370" i="16"/>
  <c r="P370" i="16" s="1"/>
  <c r="J370" i="16"/>
  <c r="M369" i="16"/>
  <c r="R369" i="16" s="1"/>
  <c r="L369" i="16"/>
  <c r="Q369" i="16" s="1"/>
  <c r="K369" i="16"/>
  <c r="P369" i="16" s="1"/>
  <c r="J369" i="16"/>
  <c r="M368" i="16"/>
  <c r="R368" i="16" s="1"/>
  <c r="L368" i="16"/>
  <c r="Q368" i="16" s="1"/>
  <c r="K368" i="16"/>
  <c r="P368" i="16" s="1"/>
  <c r="J368" i="16"/>
  <c r="M367" i="16"/>
  <c r="R367" i="16" s="1"/>
  <c r="L367" i="16"/>
  <c r="Q367" i="16" s="1"/>
  <c r="K367" i="16"/>
  <c r="P367" i="16" s="1"/>
  <c r="J367" i="16"/>
  <c r="M366" i="16"/>
  <c r="R366" i="16" s="1"/>
  <c r="L366" i="16"/>
  <c r="Q366" i="16" s="1"/>
  <c r="K366" i="16"/>
  <c r="P366" i="16" s="1"/>
  <c r="J366" i="16"/>
  <c r="O366" i="16" s="1"/>
  <c r="M365" i="16"/>
  <c r="R365" i="16" s="1"/>
  <c r="L365" i="16"/>
  <c r="Q365" i="16" s="1"/>
  <c r="K365" i="16"/>
  <c r="P365" i="16" s="1"/>
  <c r="J365" i="16"/>
  <c r="M364" i="16"/>
  <c r="R364" i="16" s="1"/>
  <c r="L364" i="16"/>
  <c r="Q364" i="16" s="1"/>
  <c r="K364" i="16"/>
  <c r="P364" i="16" s="1"/>
  <c r="J364" i="16"/>
  <c r="O364" i="16" s="1"/>
  <c r="M363" i="16"/>
  <c r="R363" i="16" s="1"/>
  <c r="L363" i="16"/>
  <c r="Q363" i="16" s="1"/>
  <c r="K363" i="16"/>
  <c r="P363" i="16" s="1"/>
  <c r="J363" i="16"/>
  <c r="O363" i="16" s="1"/>
  <c r="M362" i="16"/>
  <c r="R362" i="16" s="1"/>
  <c r="L362" i="16"/>
  <c r="Q362" i="16" s="1"/>
  <c r="K362" i="16"/>
  <c r="P362" i="16" s="1"/>
  <c r="J362" i="16"/>
  <c r="M361" i="16"/>
  <c r="R361" i="16" s="1"/>
  <c r="L361" i="16"/>
  <c r="Q361" i="16" s="1"/>
  <c r="K361" i="16"/>
  <c r="P361" i="16" s="1"/>
  <c r="J361" i="16"/>
  <c r="M360" i="16"/>
  <c r="R360" i="16" s="1"/>
  <c r="L360" i="16"/>
  <c r="Q360" i="16" s="1"/>
  <c r="K360" i="16"/>
  <c r="P360" i="16" s="1"/>
  <c r="J360" i="16"/>
  <c r="M359" i="16"/>
  <c r="R359" i="16" s="1"/>
  <c r="L359" i="16"/>
  <c r="Q359" i="16" s="1"/>
  <c r="K359" i="16"/>
  <c r="P359" i="16" s="1"/>
  <c r="J359" i="16"/>
  <c r="O359" i="16" s="1"/>
  <c r="M358" i="16"/>
  <c r="R358" i="16" s="1"/>
  <c r="L358" i="16"/>
  <c r="Q358" i="16" s="1"/>
  <c r="K358" i="16"/>
  <c r="P358" i="16" s="1"/>
  <c r="J358" i="16"/>
  <c r="O358" i="16" s="1"/>
  <c r="M357" i="16"/>
  <c r="R357" i="16" s="1"/>
  <c r="L357" i="16"/>
  <c r="Q357" i="16" s="1"/>
  <c r="K357" i="16"/>
  <c r="P357" i="16" s="1"/>
  <c r="J357" i="16"/>
  <c r="M356" i="16"/>
  <c r="R356" i="16" s="1"/>
  <c r="L356" i="16"/>
  <c r="Q356" i="16" s="1"/>
  <c r="K356" i="16"/>
  <c r="P356" i="16" s="1"/>
  <c r="J356" i="16"/>
  <c r="O356" i="16" s="1"/>
  <c r="M355" i="16"/>
  <c r="R355" i="16" s="1"/>
  <c r="L355" i="16"/>
  <c r="Q355" i="16" s="1"/>
  <c r="K355" i="16"/>
  <c r="P355" i="16" s="1"/>
  <c r="J355" i="16"/>
  <c r="O355" i="16" s="1"/>
  <c r="M354" i="16"/>
  <c r="R354" i="16" s="1"/>
  <c r="L354" i="16"/>
  <c r="Q354" i="16" s="1"/>
  <c r="K354" i="16"/>
  <c r="P354" i="16" s="1"/>
  <c r="J354" i="16"/>
  <c r="M353" i="16"/>
  <c r="R353" i="16" s="1"/>
  <c r="L353" i="16"/>
  <c r="Q353" i="16" s="1"/>
  <c r="K353" i="16"/>
  <c r="P353" i="16" s="1"/>
  <c r="J353" i="16"/>
  <c r="M352" i="16"/>
  <c r="R352" i="16" s="1"/>
  <c r="L352" i="16"/>
  <c r="Q352" i="16" s="1"/>
  <c r="K352" i="16"/>
  <c r="P352" i="16" s="1"/>
  <c r="J352" i="16"/>
  <c r="M351" i="16"/>
  <c r="R351" i="16" s="1"/>
  <c r="L351" i="16"/>
  <c r="Q351" i="16" s="1"/>
  <c r="K351" i="16"/>
  <c r="P351" i="16" s="1"/>
  <c r="J351" i="16"/>
  <c r="O351" i="16" s="1"/>
  <c r="M350" i="16"/>
  <c r="R350" i="16" s="1"/>
  <c r="L350" i="16"/>
  <c r="Q350" i="16" s="1"/>
  <c r="K350" i="16"/>
  <c r="P350" i="16" s="1"/>
  <c r="J350" i="16"/>
  <c r="O350" i="16" s="1"/>
  <c r="M349" i="16"/>
  <c r="R349" i="16" s="1"/>
  <c r="L349" i="16"/>
  <c r="Q349" i="16" s="1"/>
  <c r="K349" i="16"/>
  <c r="P349" i="16" s="1"/>
  <c r="J349" i="16"/>
  <c r="M348" i="16"/>
  <c r="R348" i="16" s="1"/>
  <c r="L348" i="16"/>
  <c r="Q348" i="16" s="1"/>
  <c r="K348" i="16"/>
  <c r="P348" i="16" s="1"/>
  <c r="J348" i="16"/>
  <c r="O348" i="16" s="1"/>
  <c r="M347" i="16"/>
  <c r="R347" i="16" s="1"/>
  <c r="L347" i="16"/>
  <c r="Q347" i="16" s="1"/>
  <c r="K347" i="16"/>
  <c r="P347" i="16" s="1"/>
  <c r="J347" i="16"/>
  <c r="O347" i="16" s="1"/>
  <c r="M346" i="16"/>
  <c r="R346" i="16" s="1"/>
  <c r="L346" i="16"/>
  <c r="Q346" i="16" s="1"/>
  <c r="K346" i="16"/>
  <c r="P346" i="16" s="1"/>
  <c r="J346" i="16"/>
  <c r="M345" i="16"/>
  <c r="R345" i="16" s="1"/>
  <c r="L345" i="16"/>
  <c r="Q345" i="16" s="1"/>
  <c r="K345" i="16"/>
  <c r="P345" i="16" s="1"/>
  <c r="J345" i="16"/>
  <c r="M344" i="16"/>
  <c r="R344" i="16" s="1"/>
  <c r="L344" i="16"/>
  <c r="Q344" i="16" s="1"/>
  <c r="K344" i="16"/>
  <c r="P344" i="16" s="1"/>
  <c r="J344" i="16"/>
  <c r="M343" i="16"/>
  <c r="R343" i="16" s="1"/>
  <c r="L343" i="16"/>
  <c r="Q343" i="16" s="1"/>
  <c r="K343" i="16"/>
  <c r="P343" i="16" s="1"/>
  <c r="J343" i="16"/>
  <c r="O343" i="16" s="1"/>
  <c r="M342" i="16"/>
  <c r="R342" i="16" s="1"/>
  <c r="L342" i="16"/>
  <c r="Q342" i="16" s="1"/>
  <c r="K342" i="16"/>
  <c r="P342" i="16" s="1"/>
  <c r="J342" i="16"/>
  <c r="M341" i="16"/>
  <c r="R341" i="16" s="1"/>
  <c r="L341" i="16"/>
  <c r="Q341" i="16" s="1"/>
  <c r="K341" i="16"/>
  <c r="P341" i="16" s="1"/>
  <c r="J341" i="16"/>
  <c r="M340" i="16"/>
  <c r="R340" i="16" s="1"/>
  <c r="L340" i="16"/>
  <c r="Q340" i="16" s="1"/>
  <c r="K340" i="16"/>
  <c r="P340" i="16" s="1"/>
  <c r="J340" i="16"/>
  <c r="O340" i="16" s="1"/>
  <c r="M339" i="16"/>
  <c r="R339" i="16" s="1"/>
  <c r="L339" i="16"/>
  <c r="Q339" i="16" s="1"/>
  <c r="K339" i="16"/>
  <c r="P339" i="16" s="1"/>
  <c r="J339" i="16"/>
  <c r="O339" i="16" s="1"/>
  <c r="M338" i="16"/>
  <c r="R338" i="16" s="1"/>
  <c r="L338" i="16"/>
  <c r="Q338" i="16" s="1"/>
  <c r="K338" i="16"/>
  <c r="P338" i="16" s="1"/>
  <c r="J338" i="16"/>
  <c r="M337" i="16"/>
  <c r="R337" i="16" s="1"/>
  <c r="L337" i="16"/>
  <c r="Q337" i="16" s="1"/>
  <c r="K337" i="16"/>
  <c r="P337" i="16" s="1"/>
  <c r="J337" i="16"/>
  <c r="O337" i="16" s="1"/>
  <c r="M336" i="16"/>
  <c r="R336" i="16" s="1"/>
  <c r="L336" i="16"/>
  <c r="Q336" i="16" s="1"/>
  <c r="K336" i="16"/>
  <c r="P336" i="16" s="1"/>
  <c r="J336" i="16"/>
  <c r="M335" i="16"/>
  <c r="R335" i="16" s="1"/>
  <c r="L335" i="16"/>
  <c r="Q335" i="16" s="1"/>
  <c r="K335" i="16"/>
  <c r="P335" i="16" s="1"/>
  <c r="J335" i="16"/>
  <c r="M334" i="16"/>
  <c r="R334" i="16" s="1"/>
  <c r="L334" i="16"/>
  <c r="Q334" i="16" s="1"/>
  <c r="K334" i="16"/>
  <c r="P334" i="16" s="1"/>
  <c r="J334" i="16"/>
  <c r="M333" i="16"/>
  <c r="R333" i="16" s="1"/>
  <c r="L333" i="16"/>
  <c r="Q333" i="16" s="1"/>
  <c r="K333" i="16"/>
  <c r="P333" i="16" s="1"/>
  <c r="J333" i="16"/>
  <c r="M332" i="16"/>
  <c r="R332" i="16" s="1"/>
  <c r="L332" i="16"/>
  <c r="Q332" i="16" s="1"/>
  <c r="K332" i="16"/>
  <c r="P332" i="16" s="1"/>
  <c r="J332" i="16"/>
  <c r="O332" i="16" s="1"/>
  <c r="M331" i="16"/>
  <c r="R331" i="16" s="1"/>
  <c r="L331" i="16"/>
  <c r="Q331" i="16" s="1"/>
  <c r="K331" i="16"/>
  <c r="P331" i="16" s="1"/>
  <c r="J331" i="16"/>
  <c r="O331" i="16" s="1"/>
  <c r="M330" i="16"/>
  <c r="R330" i="16" s="1"/>
  <c r="L330" i="16"/>
  <c r="Q330" i="16" s="1"/>
  <c r="K330" i="16"/>
  <c r="P330" i="16" s="1"/>
  <c r="J330" i="16"/>
  <c r="M329" i="16"/>
  <c r="R329" i="16" s="1"/>
  <c r="L329" i="16"/>
  <c r="Q329" i="16" s="1"/>
  <c r="K329" i="16"/>
  <c r="P329" i="16" s="1"/>
  <c r="J329" i="16"/>
  <c r="M328" i="16"/>
  <c r="R328" i="16" s="1"/>
  <c r="L328" i="16"/>
  <c r="Q328" i="16" s="1"/>
  <c r="K328" i="16"/>
  <c r="P328" i="16" s="1"/>
  <c r="J328" i="16"/>
  <c r="M327" i="16"/>
  <c r="R327" i="16" s="1"/>
  <c r="L327" i="16"/>
  <c r="Q327" i="16" s="1"/>
  <c r="K327" i="16"/>
  <c r="P327" i="16" s="1"/>
  <c r="J327" i="16"/>
  <c r="O327" i="16" s="1"/>
  <c r="M326" i="16"/>
  <c r="R326" i="16" s="1"/>
  <c r="L326" i="16"/>
  <c r="Q326" i="16" s="1"/>
  <c r="K326" i="16"/>
  <c r="P326" i="16" s="1"/>
  <c r="J326" i="16"/>
  <c r="M325" i="16"/>
  <c r="R325" i="16" s="1"/>
  <c r="L325" i="16"/>
  <c r="Q325" i="16" s="1"/>
  <c r="K325" i="16"/>
  <c r="P325" i="16" s="1"/>
  <c r="J325" i="16"/>
  <c r="M324" i="16"/>
  <c r="R324" i="16" s="1"/>
  <c r="L324" i="16"/>
  <c r="Q324" i="16" s="1"/>
  <c r="K324" i="16"/>
  <c r="P324" i="16" s="1"/>
  <c r="J324" i="16"/>
  <c r="O324" i="16" s="1"/>
  <c r="M323" i="16"/>
  <c r="R323" i="16" s="1"/>
  <c r="L323" i="16"/>
  <c r="Q323" i="16" s="1"/>
  <c r="K323" i="16"/>
  <c r="P323" i="16" s="1"/>
  <c r="J323" i="16"/>
  <c r="O323" i="16" s="1"/>
  <c r="M322" i="16"/>
  <c r="R322" i="16" s="1"/>
  <c r="L322" i="16"/>
  <c r="Q322" i="16" s="1"/>
  <c r="K322" i="16"/>
  <c r="P322" i="16" s="1"/>
  <c r="J322" i="16"/>
  <c r="M321" i="16"/>
  <c r="R321" i="16" s="1"/>
  <c r="L321" i="16"/>
  <c r="Q321" i="16" s="1"/>
  <c r="K321" i="16"/>
  <c r="P321" i="16" s="1"/>
  <c r="J321" i="16"/>
  <c r="M320" i="16"/>
  <c r="R320" i="16" s="1"/>
  <c r="L320" i="16"/>
  <c r="Q320" i="16" s="1"/>
  <c r="K320" i="16"/>
  <c r="P320" i="16" s="1"/>
  <c r="J320" i="16"/>
  <c r="M319" i="16"/>
  <c r="R319" i="16" s="1"/>
  <c r="L319" i="16"/>
  <c r="Q319" i="16" s="1"/>
  <c r="K319" i="16"/>
  <c r="P319" i="16" s="1"/>
  <c r="J319" i="16"/>
  <c r="O319" i="16" s="1"/>
  <c r="M318" i="16"/>
  <c r="R318" i="16" s="1"/>
  <c r="L318" i="16"/>
  <c r="Q318" i="16" s="1"/>
  <c r="K318" i="16"/>
  <c r="P318" i="16" s="1"/>
  <c r="J318" i="16"/>
  <c r="O318" i="16" s="1"/>
  <c r="M317" i="16"/>
  <c r="R317" i="16" s="1"/>
  <c r="L317" i="16"/>
  <c r="Q317" i="16" s="1"/>
  <c r="K317" i="16"/>
  <c r="P317" i="16" s="1"/>
  <c r="J317" i="16"/>
  <c r="M316" i="16"/>
  <c r="R316" i="16" s="1"/>
  <c r="L316" i="16"/>
  <c r="Q316" i="16" s="1"/>
  <c r="K316" i="16"/>
  <c r="P316" i="16" s="1"/>
  <c r="J316" i="16"/>
  <c r="O316" i="16" s="1"/>
  <c r="M315" i="16"/>
  <c r="R315" i="16" s="1"/>
  <c r="L315" i="16"/>
  <c r="Q315" i="16" s="1"/>
  <c r="K315" i="16"/>
  <c r="P315" i="16" s="1"/>
  <c r="J315" i="16"/>
  <c r="O315" i="16" s="1"/>
  <c r="M314" i="16"/>
  <c r="R314" i="16" s="1"/>
  <c r="L314" i="16"/>
  <c r="Q314" i="16" s="1"/>
  <c r="K314" i="16"/>
  <c r="P314" i="16" s="1"/>
  <c r="J314" i="16"/>
  <c r="M313" i="16"/>
  <c r="R313" i="16" s="1"/>
  <c r="L313" i="16"/>
  <c r="Q313" i="16" s="1"/>
  <c r="K313" i="16"/>
  <c r="P313" i="16" s="1"/>
  <c r="J313" i="16"/>
  <c r="O313" i="16" s="1"/>
  <c r="M312" i="16"/>
  <c r="R312" i="16" s="1"/>
  <c r="L312" i="16"/>
  <c r="Q312" i="16" s="1"/>
  <c r="K312" i="16"/>
  <c r="P312" i="16" s="1"/>
  <c r="J312" i="16"/>
  <c r="M311" i="16"/>
  <c r="R311" i="16" s="1"/>
  <c r="L311" i="16"/>
  <c r="Q311" i="16" s="1"/>
  <c r="K311" i="16"/>
  <c r="P311" i="16" s="1"/>
  <c r="J311" i="16"/>
  <c r="O311" i="16" s="1"/>
  <c r="M310" i="16"/>
  <c r="R310" i="16" s="1"/>
  <c r="L310" i="16"/>
  <c r="Q310" i="16" s="1"/>
  <c r="K310" i="16"/>
  <c r="P310" i="16" s="1"/>
  <c r="J310" i="16"/>
  <c r="M309" i="16"/>
  <c r="R309" i="16" s="1"/>
  <c r="L309" i="16"/>
  <c r="Q309" i="16" s="1"/>
  <c r="K309" i="16"/>
  <c r="P309" i="16" s="1"/>
  <c r="J309" i="16"/>
  <c r="M308" i="16"/>
  <c r="R308" i="16" s="1"/>
  <c r="L308" i="16"/>
  <c r="Q308" i="16" s="1"/>
  <c r="K308" i="16"/>
  <c r="P308" i="16" s="1"/>
  <c r="J308" i="16"/>
  <c r="O308" i="16" s="1"/>
  <c r="M307" i="16"/>
  <c r="R307" i="16" s="1"/>
  <c r="L307" i="16"/>
  <c r="Q307" i="16" s="1"/>
  <c r="K307" i="16"/>
  <c r="P307" i="16" s="1"/>
  <c r="J307" i="16"/>
  <c r="O307" i="16" s="1"/>
  <c r="M306" i="16"/>
  <c r="R306" i="16" s="1"/>
  <c r="L306" i="16"/>
  <c r="Q306" i="16" s="1"/>
  <c r="K306" i="16"/>
  <c r="P306" i="16" s="1"/>
  <c r="J306" i="16"/>
  <c r="M305" i="16"/>
  <c r="R305" i="16" s="1"/>
  <c r="L305" i="16"/>
  <c r="Q305" i="16" s="1"/>
  <c r="K305" i="16"/>
  <c r="P305" i="16" s="1"/>
  <c r="J305" i="16"/>
  <c r="M304" i="16"/>
  <c r="R304" i="16" s="1"/>
  <c r="L304" i="16"/>
  <c r="Q304" i="16" s="1"/>
  <c r="K304" i="16"/>
  <c r="P304" i="16" s="1"/>
  <c r="J304" i="16"/>
  <c r="M303" i="16"/>
  <c r="R303" i="16" s="1"/>
  <c r="L303" i="16"/>
  <c r="Q303" i="16" s="1"/>
  <c r="K303" i="16"/>
  <c r="P303" i="16" s="1"/>
  <c r="J303" i="16"/>
  <c r="M302" i="16"/>
  <c r="R302" i="16" s="1"/>
  <c r="L302" i="16"/>
  <c r="Q302" i="16" s="1"/>
  <c r="K302" i="16"/>
  <c r="P302" i="16" s="1"/>
  <c r="J302" i="16"/>
  <c r="M301" i="16"/>
  <c r="R301" i="16" s="1"/>
  <c r="L301" i="16"/>
  <c r="Q301" i="16" s="1"/>
  <c r="K301" i="16"/>
  <c r="P301" i="16" s="1"/>
  <c r="J301" i="16"/>
  <c r="M300" i="16"/>
  <c r="R300" i="16" s="1"/>
  <c r="L300" i="16"/>
  <c r="Q300" i="16" s="1"/>
  <c r="K300" i="16"/>
  <c r="P300" i="16" s="1"/>
  <c r="J300" i="16"/>
  <c r="O300" i="16" s="1"/>
  <c r="M299" i="16"/>
  <c r="R299" i="16" s="1"/>
  <c r="L299" i="16"/>
  <c r="Q299" i="16" s="1"/>
  <c r="K299" i="16"/>
  <c r="P299" i="16" s="1"/>
  <c r="J299" i="16"/>
  <c r="O299" i="16" s="1"/>
  <c r="M298" i="16"/>
  <c r="R298" i="16" s="1"/>
  <c r="L298" i="16"/>
  <c r="Q298" i="16" s="1"/>
  <c r="K298" i="16"/>
  <c r="P298" i="16" s="1"/>
  <c r="J298" i="16"/>
  <c r="M297" i="16"/>
  <c r="R297" i="16" s="1"/>
  <c r="L297" i="16"/>
  <c r="Q297" i="16" s="1"/>
  <c r="K297" i="16"/>
  <c r="P297" i="16" s="1"/>
  <c r="J297" i="16"/>
  <c r="O297" i="16" s="1"/>
  <c r="M296" i="16"/>
  <c r="R296" i="16" s="1"/>
  <c r="L296" i="16"/>
  <c r="Q296" i="16" s="1"/>
  <c r="K296" i="16"/>
  <c r="P296" i="16" s="1"/>
  <c r="J296" i="16"/>
  <c r="M295" i="16"/>
  <c r="R295" i="16" s="1"/>
  <c r="L295" i="16"/>
  <c r="Q295" i="16" s="1"/>
  <c r="K295" i="16"/>
  <c r="J295" i="16"/>
  <c r="O295" i="16" s="1"/>
  <c r="M294" i="16"/>
  <c r="R294" i="16" s="1"/>
  <c r="L294" i="16"/>
  <c r="Q294" i="16" s="1"/>
  <c r="K294" i="16"/>
  <c r="P294" i="16" s="1"/>
  <c r="J294" i="16"/>
  <c r="M293" i="16"/>
  <c r="R293" i="16" s="1"/>
  <c r="L293" i="16"/>
  <c r="Q293" i="16" s="1"/>
  <c r="K293" i="16"/>
  <c r="P293" i="16" s="1"/>
  <c r="J293" i="16"/>
  <c r="M292" i="16"/>
  <c r="R292" i="16" s="1"/>
  <c r="L292" i="16"/>
  <c r="Q292" i="16" s="1"/>
  <c r="K292" i="16"/>
  <c r="P292" i="16" s="1"/>
  <c r="J292" i="16"/>
  <c r="O292" i="16" s="1"/>
  <c r="M291" i="16"/>
  <c r="R291" i="16" s="1"/>
  <c r="L291" i="16"/>
  <c r="Q291" i="16" s="1"/>
  <c r="K291" i="16"/>
  <c r="P291" i="16" s="1"/>
  <c r="J291" i="16"/>
  <c r="O291" i="16" s="1"/>
  <c r="M290" i="16"/>
  <c r="R290" i="16" s="1"/>
  <c r="L290" i="16"/>
  <c r="Q290" i="16" s="1"/>
  <c r="K290" i="16"/>
  <c r="P290" i="16" s="1"/>
  <c r="J290" i="16"/>
  <c r="M289" i="16"/>
  <c r="R289" i="16" s="1"/>
  <c r="L289" i="16"/>
  <c r="Q289" i="16" s="1"/>
  <c r="K289" i="16"/>
  <c r="P289" i="16" s="1"/>
  <c r="J289" i="16"/>
  <c r="O289" i="16" s="1"/>
  <c r="M288" i="16"/>
  <c r="R288" i="16" s="1"/>
  <c r="L288" i="16"/>
  <c r="Q288" i="16" s="1"/>
  <c r="K288" i="16"/>
  <c r="P288" i="16" s="1"/>
  <c r="J288" i="16"/>
  <c r="M287" i="16"/>
  <c r="R287" i="16" s="1"/>
  <c r="L287" i="16"/>
  <c r="Q287" i="16" s="1"/>
  <c r="K287" i="16"/>
  <c r="P287" i="16" s="1"/>
  <c r="J287" i="16"/>
  <c r="O287" i="16" s="1"/>
  <c r="M286" i="16"/>
  <c r="R286" i="16" s="1"/>
  <c r="L286" i="16"/>
  <c r="Q286" i="16" s="1"/>
  <c r="K286" i="16"/>
  <c r="P286" i="16" s="1"/>
  <c r="J286" i="16"/>
  <c r="O286" i="16" s="1"/>
  <c r="M285" i="16"/>
  <c r="R285" i="16" s="1"/>
  <c r="L285" i="16"/>
  <c r="Q285" i="16" s="1"/>
  <c r="K285" i="16"/>
  <c r="P285" i="16" s="1"/>
  <c r="J285" i="16"/>
  <c r="M284" i="16"/>
  <c r="R284" i="16" s="1"/>
  <c r="L284" i="16"/>
  <c r="Q284" i="16" s="1"/>
  <c r="K284" i="16"/>
  <c r="P284" i="16" s="1"/>
  <c r="J284" i="16"/>
  <c r="O284" i="16" s="1"/>
  <c r="M283" i="16"/>
  <c r="R283" i="16" s="1"/>
  <c r="L283" i="16"/>
  <c r="Q283" i="16" s="1"/>
  <c r="K283" i="16"/>
  <c r="P283" i="16" s="1"/>
  <c r="J283" i="16"/>
  <c r="O283" i="16" s="1"/>
  <c r="M282" i="16"/>
  <c r="R282" i="16" s="1"/>
  <c r="L282" i="16"/>
  <c r="Q282" i="16" s="1"/>
  <c r="K282" i="16"/>
  <c r="P282" i="16" s="1"/>
  <c r="J282" i="16"/>
  <c r="M281" i="16"/>
  <c r="R281" i="16" s="1"/>
  <c r="L281" i="16"/>
  <c r="Q281" i="16" s="1"/>
  <c r="K281" i="16"/>
  <c r="P281" i="16" s="1"/>
  <c r="J281" i="16"/>
  <c r="M280" i="16"/>
  <c r="R280" i="16" s="1"/>
  <c r="L280" i="16"/>
  <c r="Q280" i="16" s="1"/>
  <c r="K280" i="16"/>
  <c r="P280" i="16" s="1"/>
  <c r="J280" i="16"/>
  <c r="M279" i="16"/>
  <c r="R279" i="16" s="1"/>
  <c r="L279" i="16"/>
  <c r="Q279" i="16" s="1"/>
  <c r="K279" i="16"/>
  <c r="P279" i="16" s="1"/>
  <c r="J279" i="16"/>
  <c r="O279" i="16" s="1"/>
  <c r="M278" i="16"/>
  <c r="R278" i="16" s="1"/>
  <c r="L278" i="16"/>
  <c r="Q278" i="16" s="1"/>
  <c r="K278" i="16"/>
  <c r="P278" i="16" s="1"/>
  <c r="J278" i="16"/>
  <c r="O278" i="16" s="1"/>
  <c r="M277" i="16"/>
  <c r="R277" i="16" s="1"/>
  <c r="L277" i="16"/>
  <c r="Q277" i="16" s="1"/>
  <c r="K277" i="16"/>
  <c r="P277" i="16" s="1"/>
  <c r="J277" i="16"/>
  <c r="M276" i="16"/>
  <c r="R276" i="16" s="1"/>
  <c r="L276" i="16"/>
  <c r="Q276" i="16" s="1"/>
  <c r="K276" i="16"/>
  <c r="P276" i="16" s="1"/>
  <c r="J276" i="16"/>
  <c r="O276" i="16" s="1"/>
  <c r="M275" i="16"/>
  <c r="R275" i="16" s="1"/>
  <c r="L275" i="16"/>
  <c r="Q275" i="16" s="1"/>
  <c r="K275" i="16"/>
  <c r="P275" i="16" s="1"/>
  <c r="J275" i="16"/>
  <c r="O275" i="16" s="1"/>
  <c r="M274" i="16"/>
  <c r="R274" i="16" s="1"/>
  <c r="L274" i="16"/>
  <c r="Q274" i="16" s="1"/>
  <c r="K274" i="16"/>
  <c r="P274" i="16" s="1"/>
  <c r="J274" i="16"/>
  <c r="M273" i="16"/>
  <c r="R273" i="16" s="1"/>
  <c r="L273" i="16"/>
  <c r="Q273" i="16" s="1"/>
  <c r="K273" i="16"/>
  <c r="P273" i="16" s="1"/>
  <c r="J273" i="16"/>
  <c r="O273" i="16" s="1"/>
  <c r="M272" i="16"/>
  <c r="R272" i="16" s="1"/>
  <c r="L272" i="16"/>
  <c r="Q272" i="16" s="1"/>
  <c r="K272" i="16"/>
  <c r="P272" i="16" s="1"/>
  <c r="J272" i="16"/>
  <c r="M271" i="16"/>
  <c r="R271" i="16" s="1"/>
  <c r="L271" i="16"/>
  <c r="Q271" i="16" s="1"/>
  <c r="K271" i="16"/>
  <c r="P271" i="16" s="1"/>
  <c r="J271" i="16"/>
  <c r="M270" i="16"/>
  <c r="R270" i="16" s="1"/>
  <c r="L270" i="16"/>
  <c r="Q270" i="16" s="1"/>
  <c r="K270" i="16"/>
  <c r="P270" i="16" s="1"/>
  <c r="J270" i="16"/>
  <c r="O270" i="16" s="1"/>
  <c r="M269" i="16"/>
  <c r="R269" i="16" s="1"/>
  <c r="L269" i="16"/>
  <c r="Q269" i="16" s="1"/>
  <c r="K269" i="16"/>
  <c r="P269" i="16" s="1"/>
  <c r="J269" i="16"/>
  <c r="M268" i="16"/>
  <c r="R268" i="16" s="1"/>
  <c r="L268" i="16"/>
  <c r="Q268" i="16" s="1"/>
  <c r="K268" i="16"/>
  <c r="P268" i="16" s="1"/>
  <c r="J268" i="16"/>
  <c r="O268" i="16" s="1"/>
  <c r="M267" i="16"/>
  <c r="R267" i="16" s="1"/>
  <c r="L267" i="16"/>
  <c r="Q267" i="16" s="1"/>
  <c r="K267" i="16"/>
  <c r="P267" i="16" s="1"/>
  <c r="J267" i="16"/>
  <c r="O267" i="16" s="1"/>
  <c r="M266" i="16"/>
  <c r="R266" i="16" s="1"/>
  <c r="L266" i="16"/>
  <c r="Q266" i="16" s="1"/>
  <c r="K266" i="16"/>
  <c r="P266" i="16" s="1"/>
  <c r="J266" i="16"/>
  <c r="M265" i="16"/>
  <c r="R265" i="16" s="1"/>
  <c r="L265" i="16"/>
  <c r="Q265" i="16" s="1"/>
  <c r="K265" i="16"/>
  <c r="P265" i="16" s="1"/>
  <c r="J265" i="16"/>
  <c r="O265" i="16" s="1"/>
  <c r="M264" i="16"/>
  <c r="R264" i="16" s="1"/>
  <c r="L264" i="16"/>
  <c r="Q264" i="16" s="1"/>
  <c r="K264" i="16"/>
  <c r="P264" i="16" s="1"/>
  <c r="J264" i="16"/>
  <c r="M263" i="16"/>
  <c r="R263" i="16" s="1"/>
  <c r="L263" i="16"/>
  <c r="Q263" i="16" s="1"/>
  <c r="K263" i="16"/>
  <c r="J263" i="16"/>
  <c r="O263" i="16" s="1"/>
  <c r="M262" i="16"/>
  <c r="R262" i="16" s="1"/>
  <c r="L262" i="16"/>
  <c r="Q262" i="16" s="1"/>
  <c r="K262" i="16"/>
  <c r="P262" i="16" s="1"/>
  <c r="J262" i="16"/>
  <c r="M261" i="16"/>
  <c r="R261" i="16" s="1"/>
  <c r="L261" i="16"/>
  <c r="Q261" i="16" s="1"/>
  <c r="K261" i="16"/>
  <c r="P261" i="16" s="1"/>
  <c r="J261" i="16"/>
  <c r="M260" i="16"/>
  <c r="R260" i="16" s="1"/>
  <c r="L260" i="16"/>
  <c r="Q260" i="16" s="1"/>
  <c r="K260" i="16"/>
  <c r="P260" i="16" s="1"/>
  <c r="J260" i="16"/>
  <c r="O260" i="16" s="1"/>
  <c r="M259" i="16"/>
  <c r="R259" i="16" s="1"/>
  <c r="L259" i="16"/>
  <c r="Q259" i="16" s="1"/>
  <c r="K259" i="16"/>
  <c r="P259" i="16" s="1"/>
  <c r="J259" i="16"/>
  <c r="O259" i="16" s="1"/>
  <c r="M258" i="16"/>
  <c r="R258" i="16" s="1"/>
  <c r="L258" i="16"/>
  <c r="Q258" i="16" s="1"/>
  <c r="K258" i="16"/>
  <c r="P258" i="16" s="1"/>
  <c r="J258" i="16"/>
  <c r="M257" i="16"/>
  <c r="R257" i="16" s="1"/>
  <c r="L257" i="16"/>
  <c r="Q257" i="16" s="1"/>
  <c r="K257" i="16"/>
  <c r="P257" i="16" s="1"/>
  <c r="J257" i="16"/>
  <c r="O257" i="16" s="1"/>
  <c r="M256" i="16"/>
  <c r="R256" i="16" s="1"/>
  <c r="L256" i="16"/>
  <c r="Q256" i="16" s="1"/>
  <c r="K256" i="16"/>
  <c r="P256" i="16" s="1"/>
  <c r="J256" i="16"/>
  <c r="M255" i="16"/>
  <c r="R255" i="16" s="1"/>
  <c r="L255" i="16"/>
  <c r="Q255" i="16" s="1"/>
  <c r="K255" i="16"/>
  <c r="P255" i="16" s="1"/>
  <c r="J255" i="16"/>
  <c r="O255" i="16" s="1"/>
  <c r="M254" i="16"/>
  <c r="R254" i="16" s="1"/>
  <c r="L254" i="16"/>
  <c r="Q254" i="16" s="1"/>
  <c r="K254" i="16"/>
  <c r="P254" i="16" s="1"/>
  <c r="J254" i="16"/>
  <c r="O254" i="16" s="1"/>
  <c r="M253" i="16"/>
  <c r="R253" i="16" s="1"/>
  <c r="L253" i="16"/>
  <c r="Q253" i="16" s="1"/>
  <c r="K253" i="16"/>
  <c r="P253" i="16" s="1"/>
  <c r="J253" i="16"/>
  <c r="M252" i="16"/>
  <c r="R252" i="16" s="1"/>
  <c r="L252" i="16"/>
  <c r="Q252" i="16" s="1"/>
  <c r="K252" i="16"/>
  <c r="P252" i="16" s="1"/>
  <c r="J252" i="16"/>
  <c r="O252" i="16" s="1"/>
  <c r="M251" i="16"/>
  <c r="R251" i="16" s="1"/>
  <c r="L251" i="16"/>
  <c r="Q251" i="16" s="1"/>
  <c r="K251" i="16"/>
  <c r="P251" i="16" s="1"/>
  <c r="J251" i="16"/>
  <c r="O251" i="16" s="1"/>
  <c r="M250" i="16"/>
  <c r="R250" i="16" s="1"/>
  <c r="L250" i="16"/>
  <c r="Q250" i="16" s="1"/>
  <c r="K250" i="16"/>
  <c r="P250" i="16" s="1"/>
  <c r="J250" i="16"/>
  <c r="M249" i="16"/>
  <c r="R249" i="16" s="1"/>
  <c r="L249" i="16"/>
  <c r="Q249" i="16" s="1"/>
  <c r="K249" i="16"/>
  <c r="P249" i="16" s="1"/>
  <c r="J249" i="16"/>
  <c r="O249" i="16" s="1"/>
  <c r="M248" i="16"/>
  <c r="R248" i="16" s="1"/>
  <c r="L248" i="16"/>
  <c r="Q248" i="16" s="1"/>
  <c r="K248" i="16"/>
  <c r="P248" i="16" s="1"/>
  <c r="J248" i="16"/>
  <c r="M247" i="16"/>
  <c r="R247" i="16" s="1"/>
  <c r="L247" i="16"/>
  <c r="Q247" i="16" s="1"/>
  <c r="K247" i="16"/>
  <c r="P247" i="16" s="1"/>
  <c r="J247" i="16"/>
  <c r="O247" i="16" s="1"/>
  <c r="M246" i="16"/>
  <c r="R246" i="16" s="1"/>
  <c r="L246" i="16"/>
  <c r="Q246" i="16" s="1"/>
  <c r="K246" i="16"/>
  <c r="P246" i="16" s="1"/>
  <c r="J246" i="16"/>
  <c r="O246" i="16" s="1"/>
  <c r="M245" i="16"/>
  <c r="R245" i="16" s="1"/>
  <c r="L245" i="16"/>
  <c r="Q245" i="16" s="1"/>
  <c r="K245" i="16"/>
  <c r="P245" i="16" s="1"/>
  <c r="J245" i="16"/>
  <c r="M244" i="16"/>
  <c r="R244" i="16" s="1"/>
  <c r="L244" i="16"/>
  <c r="Q244" i="16" s="1"/>
  <c r="K244" i="16"/>
  <c r="P244" i="16" s="1"/>
  <c r="J244" i="16"/>
  <c r="O244" i="16" s="1"/>
  <c r="M243" i="16"/>
  <c r="R243" i="16" s="1"/>
  <c r="L243" i="16"/>
  <c r="Q243" i="16" s="1"/>
  <c r="K243" i="16"/>
  <c r="P243" i="16" s="1"/>
  <c r="J243" i="16"/>
  <c r="O243" i="16" s="1"/>
  <c r="M242" i="16"/>
  <c r="R242" i="16" s="1"/>
  <c r="L242" i="16"/>
  <c r="Q242" i="16" s="1"/>
  <c r="K242" i="16"/>
  <c r="P242" i="16" s="1"/>
  <c r="J242" i="16"/>
  <c r="M241" i="16"/>
  <c r="R241" i="16" s="1"/>
  <c r="L241" i="16"/>
  <c r="Q241" i="16" s="1"/>
  <c r="K241" i="16"/>
  <c r="P241" i="16" s="1"/>
  <c r="J241" i="16"/>
  <c r="O241" i="16" s="1"/>
  <c r="M240" i="16"/>
  <c r="R240" i="16" s="1"/>
  <c r="L240" i="16"/>
  <c r="Q240" i="16" s="1"/>
  <c r="K240" i="16"/>
  <c r="P240" i="16" s="1"/>
  <c r="J240" i="16"/>
  <c r="M239" i="16"/>
  <c r="R239" i="16" s="1"/>
  <c r="L239" i="16"/>
  <c r="Q239" i="16" s="1"/>
  <c r="K239" i="16"/>
  <c r="P239" i="16" s="1"/>
  <c r="J239" i="16"/>
  <c r="M238" i="16"/>
  <c r="R238" i="16" s="1"/>
  <c r="L238" i="16"/>
  <c r="Q238" i="16" s="1"/>
  <c r="K238" i="16"/>
  <c r="P238" i="16" s="1"/>
  <c r="J238" i="16"/>
  <c r="O238" i="16" s="1"/>
  <c r="M237" i="16"/>
  <c r="R237" i="16" s="1"/>
  <c r="L237" i="16"/>
  <c r="Q237" i="16" s="1"/>
  <c r="K237" i="16"/>
  <c r="P237" i="16" s="1"/>
  <c r="J237" i="16"/>
  <c r="M236" i="16"/>
  <c r="R236" i="16" s="1"/>
  <c r="L236" i="16"/>
  <c r="Q236" i="16" s="1"/>
  <c r="K236" i="16"/>
  <c r="P236" i="16" s="1"/>
  <c r="J236" i="16"/>
  <c r="O236" i="16" s="1"/>
  <c r="M235" i="16"/>
  <c r="R235" i="16" s="1"/>
  <c r="L235" i="16"/>
  <c r="Q235" i="16" s="1"/>
  <c r="K235" i="16"/>
  <c r="P235" i="16" s="1"/>
  <c r="J235" i="16"/>
  <c r="O235" i="16" s="1"/>
  <c r="M234" i="16"/>
  <c r="R234" i="16" s="1"/>
  <c r="L234" i="16"/>
  <c r="Q234" i="16" s="1"/>
  <c r="K234" i="16"/>
  <c r="P234" i="16" s="1"/>
  <c r="J234" i="16"/>
  <c r="M233" i="16"/>
  <c r="R233" i="16" s="1"/>
  <c r="L233" i="16"/>
  <c r="Q233" i="16" s="1"/>
  <c r="K233" i="16"/>
  <c r="P233" i="16" s="1"/>
  <c r="J233" i="16"/>
  <c r="O233" i="16" s="1"/>
  <c r="M232" i="16"/>
  <c r="R232" i="16" s="1"/>
  <c r="L232" i="16"/>
  <c r="Q232" i="16" s="1"/>
  <c r="K232" i="16"/>
  <c r="P232" i="16" s="1"/>
  <c r="J232" i="16"/>
  <c r="O232" i="16" s="1"/>
  <c r="M231" i="16"/>
  <c r="R231" i="16" s="1"/>
  <c r="L231" i="16"/>
  <c r="Q231" i="16" s="1"/>
  <c r="K231" i="16"/>
  <c r="P231" i="16" s="1"/>
  <c r="J231" i="16"/>
  <c r="O231" i="16" s="1"/>
  <c r="M230" i="16"/>
  <c r="L230" i="16"/>
  <c r="Q230" i="16" s="1"/>
  <c r="K230" i="16"/>
  <c r="P230" i="16" s="1"/>
  <c r="J230" i="16"/>
  <c r="O230" i="16" s="1"/>
  <c r="M229" i="16"/>
  <c r="R229" i="16" s="1"/>
  <c r="L229" i="16"/>
  <c r="Q229" i="16" s="1"/>
  <c r="K229" i="16"/>
  <c r="P229" i="16" s="1"/>
  <c r="J229" i="16"/>
  <c r="M228" i="16"/>
  <c r="R228" i="16" s="1"/>
  <c r="L228" i="16"/>
  <c r="Q228" i="16" s="1"/>
  <c r="K228" i="16"/>
  <c r="P228" i="16" s="1"/>
  <c r="J228" i="16"/>
  <c r="O228" i="16" s="1"/>
  <c r="M227" i="16"/>
  <c r="R227" i="16" s="1"/>
  <c r="L227" i="16"/>
  <c r="Q227" i="16" s="1"/>
  <c r="K227" i="16"/>
  <c r="P227" i="16" s="1"/>
  <c r="J227" i="16"/>
  <c r="O227" i="16" s="1"/>
  <c r="M226" i="16"/>
  <c r="R226" i="16" s="1"/>
  <c r="L226" i="16"/>
  <c r="Q226" i="16" s="1"/>
  <c r="K226" i="16"/>
  <c r="P226" i="16" s="1"/>
  <c r="J226" i="16"/>
  <c r="M225" i="16"/>
  <c r="R225" i="16" s="1"/>
  <c r="L225" i="16"/>
  <c r="Q225" i="16" s="1"/>
  <c r="K225" i="16"/>
  <c r="P225" i="16" s="1"/>
  <c r="J225" i="16"/>
  <c r="M224" i="16"/>
  <c r="R224" i="16" s="1"/>
  <c r="L224" i="16"/>
  <c r="Q224" i="16" s="1"/>
  <c r="K224" i="16"/>
  <c r="P224" i="16" s="1"/>
  <c r="J224" i="16"/>
  <c r="O224" i="16" s="1"/>
  <c r="M223" i="16"/>
  <c r="R223" i="16" s="1"/>
  <c r="L223" i="16"/>
  <c r="Q223" i="16" s="1"/>
  <c r="K223" i="16"/>
  <c r="P223" i="16" s="1"/>
  <c r="J223" i="16"/>
  <c r="O223" i="16" s="1"/>
  <c r="M222" i="16"/>
  <c r="R222" i="16" s="1"/>
  <c r="L222" i="16"/>
  <c r="Q222" i="16" s="1"/>
  <c r="K222" i="16"/>
  <c r="J222" i="16"/>
  <c r="O222" i="16" s="1"/>
  <c r="M221" i="16"/>
  <c r="R221" i="16" s="1"/>
  <c r="L221" i="16"/>
  <c r="Q221" i="16" s="1"/>
  <c r="K221" i="16"/>
  <c r="P221" i="16" s="1"/>
  <c r="J221" i="16"/>
  <c r="M220" i="16"/>
  <c r="R220" i="16" s="1"/>
  <c r="L220" i="16"/>
  <c r="Q220" i="16" s="1"/>
  <c r="K220" i="16"/>
  <c r="P220" i="16" s="1"/>
  <c r="J220" i="16"/>
  <c r="O220" i="16" s="1"/>
  <c r="M219" i="16"/>
  <c r="R219" i="16" s="1"/>
  <c r="L219" i="16"/>
  <c r="Q219" i="16" s="1"/>
  <c r="K219" i="16"/>
  <c r="P219" i="16" s="1"/>
  <c r="J219" i="16"/>
  <c r="O219" i="16" s="1"/>
  <c r="M218" i="16"/>
  <c r="R218" i="16" s="1"/>
  <c r="L218" i="16"/>
  <c r="Q218" i="16" s="1"/>
  <c r="K218" i="16"/>
  <c r="P218" i="16" s="1"/>
  <c r="J218" i="16"/>
  <c r="M217" i="16"/>
  <c r="R217" i="16" s="1"/>
  <c r="L217" i="16"/>
  <c r="Q217" i="16" s="1"/>
  <c r="K217" i="16"/>
  <c r="P217" i="16" s="1"/>
  <c r="J217" i="16"/>
  <c r="O217" i="16" s="1"/>
  <c r="M216" i="16"/>
  <c r="R216" i="16" s="1"/>
  <c r="L216" i="16"/>
  <c r="Q216" i="16" s="1"/>
  <c r="K216" i="16"/>
  <c r="P216" i="16" s="1"/>
  <c r="J216" i="16"/>
  <c r="O216" i="16" s="1"/>
  <c r="M215" i="16"/>
  <c r="R215" i="16" s="1"/>
  <c r="L215" i="16"/>
  <c r="Q215" i="16" s="1"/>
  <c r="K215" i="16"/>
  <c r="P215" i="16" s="1"/>
  <c r="J215" i="16"/>
  <c r="O215" i="16" s="1"/>
  <c r="M214" i="16"/>
  <c r="R214" i="16" s="1"/>
  <c r="L214" i="16"/>
  <c r="Q214" i="16" s="1"/>
  <c r="K214" i="16"/>
  <c r="P214" i="16" s="1"/>
  <c r="J214" i="16"/>
  <c r="O214" i="16" s="1"/>
  <c r="M213" i="16"/>
  <c r="R213" i="16" s="1"/>
  <c r="L213" i="16"/>
  <c r="Q213" i="16" s="1"/>
  <c r="K213" i="16"/>
  <c r="P213" i="16" s="1"/>
  <c r="J213" i="16"/>
  <c r="M212" i="16"/>
  <c r="R212" i="16" s="1"/>
  <c r="L212" i="16"/>
  <c r="Q212" i="16" s="1"/>
  <c r="K212" i="16"/>
  <c r="P212" i="16" s="1"/>
  <c r="J212" i="16"/>
  <c r="O212" i="16" s="1"/>
  <c r="M211" i="16"/>
  <c r="R211" i="16" s="1"/>
  <c r="L211" i="16"/>
  <c r="Q211" i="16" s="1"/>
  <c r="K211" i="16"/>
  <c r="P211" i="16" s="1"/>
  <c r="J211" i="16"/>
  <c r="M210" i="16"/>
  <c r="R210" i="16" s="1"/>
  <c r="L210" i="16"/>
  <c r="Q210" i="16" s="1"/>
  <c r="K210" i="16"/>
  <c r="P210" i="16" s="1"/>
  <c r="J210" i="16"/>
  <c r="M209" i="16"/>
  <c r="R209" i="16" s="1"/>
  <c r="L209" i="16"/>
  <c r="Q209" i="16" s="1"/>
  <c r="K209" i="16"/>
  <c r="P209" i="16" s="1"/>
  <c r="J209" i="16"/>
  <c r="O209" i="16" s="1"/>
  <c r="M208" i="16"/>
  <c r="R208" i="16" s="1"/>
  <c r="L208" i="16"/>
  <c r="Q208" i="16" s="1"/>
  <c r="K208" i="16"/>
  <c r="P208" i="16" s="1"/>
  <c r="J208" i="16"/>
  <c r="O208" i="16" s="1"/>
  <c r="M207" i="16"/>
  <c r="R207" i="16" s="1"/>
  <c r="L207" i="16"/>
  <c r="Q207" i="16" s="1"/>
  <c r="K207" i="16"/>
  <c r="P207" i="16" s="1"/>
  <c r="J207" i="16"/>
  <c r="O207" i="16" s="1"/>
  <c r="M206" i="16"/>
  <c r="R206" i="16" s="1"/>
  <c r="L206" i="16"/>
  <c r="Q206" i="16" s="1"/>
  <c r="K206" i="16"/>
  <c r="P206" i="16" s="1"/>
  <c r="J206" i="16"/>
  <c r="O206" i="16" s="1"/>
  <c r="M205" i="16"/>
  <c r="R205" i="16" s="1"/>
  <c r="L205" i="16"/>
  <c r="Q205" i="16" s="1"/>
  <c r="K205" i="16"/>
  <c r="P205" i="16" s="1"/>
  <c r="J205" i="16"/>
  <c r="M204" i="16"/>
  <c r="R204" i="16" s="1"/>
  <c r="L204" i="16"/>
  <c r="Q204" i="16" s="1"/>
  <c r="K204" i="16"/>
  <c r="P204" i="16" s="1"/>
  <c r="J204" i="16"/>
  <c r="O204" i="16" s="1"/>
  <c r="M203" i="16"/>
  <c r="R203" i="16" s="1"/>
  <c r="L203" i="16"/>
  <c r="Q203" i="16" s="1"/>
  <c r="K203" i="16"/>
  <c r="P203" i="16" s="1"/>
  <c r="J203" i="16"/>
  <c r="O203" i="16" s="1"/>
  <c r="M202" i="16"/>
  <c r="R202" i="16" s="1"/>
  <c r="L202" i="16"/>
  <c r="Q202" i="16" s="1"/>
  <c r="K202" i="16"/>
  <c r="P202" i="16" s="1"/>
  <c r="J202" i="16"/>
  <c r="M201" i="16"/>
  <c r="R201" i="16" s="1"/>
  <c r="L201" i="16"/>
  <c r="Q201" i="16" s="1"/>
  <c r="K201" i="16"/>
  <c r="P201" i="16" s="1"/>
  <c r="J201" i="16"/>
  <c r="M200" i="16"/>
  <c r="L200" i="16"/>
  <c r="Q200" i="16" s="1"/>
  <c r="K200" i="16"/>
  <c r="P200" i="16" s="1"/>
  <c r="J200" i="16"/>
  <c r="O200" i="16" s="1"/>
  <c r="M199" i="16"/>
  <c r="R199" i="16" s="1"/>
  <c r="L199" i="16"/>
  <c r="Q199" i="16" s="1"/>
  <c r="K199" i="16"/>
  <c r="J199" i="16"/>
  <c r="O199" i="16" s="1"/>
  <c r="M198" i="16"/>
  <c r="R198" i="16" s="1"/>
  <c r="L198" i="16"/>
  <c r="Q198" i="16" s="1"/>
  <c r="K198" i="16"/>
  <c r="P198" i="16" s="1"/>
  <c r="J198" i="16"/>
  <c r="M197" i="16"/>
  <c r="R197" i="16" s="1"/>
  <c r="L197" i="16"/>
  <c r="Q197" i="16" s="1"/>
  <c r="K197" i="16"/>
  <c r="P197" i="16" s="1"/>
  <c r="J197" i="16"/>
  <c r="M196" i="16"/>
  <c r="R196" i="16" s="1"/>
  <c r="L196" i="16"/>
  <c r="Q196" i="16" s="1"/>
  <c r="K196" i="16"/>
  <c r="P196" i="16" s="1"/>
  <c r="J196" i="16"/>
  <c r="O196" i="16" s="1"/>
  <c r="M195" i="16"/>
  <c r="R195" i="16" s="1"/>
  <c r="L195" i="16"/>
  <c r="Q195" i="16" s="1"/>
  <c r="K195" i="16"/>
  <c r="P195" i="16" s="1"/>
  <c r="J195" i="16"/>
  <c r="O195" i="16" s="1"/>
  <c r="M194" i="16"/>
  <c r="R194" i="16" s="1"/>
  <c r="L194" i="16"/>
  <c r="Q194" i="16" s="1"/>
  <c r="K194" i="16"/>
  <c r="P194" i="16" s="1"/>
  <c r="J194" i="16"/>
  <c r="M193" i="16"/>
  <c r="R193" i="16" s="1"/>
  <c r="L193" i="16"/>
  <c r="Q193" i="16" s="1"/>
  <c r="K193" i="16"/>
  <c r="P193" i="16" s="1"/>
  <c r="J193" i="16"/>
  <c r="O193" i="16" s="1"/>
  <c r="M192" i="16"/>
  <c r="R192" i="16" s="1"/>
  <c r="L192" i="16"/>
  <c r="Q192" i="16" s="1"/>
  <c r="K192" i="16"/>
  <c r="P192" i="16" s="1"/>
  <c r="J192" i="16"/>
  <c r="O192" i="16" s="1"/>
  <c r="M191" i="16"/>
  <c r="R191" i="16" s="1"/>
  <c r="L191" i="16"/>
  <c r="Q191" i="16" s="1"/>
  <c r="K191" i="16"/>
  <c r="P191" i="16" s="1"/>
  <c r="J191" i="16"/>
  <c r="O191" i="16" s="1"/>
  <c r="M190" i="16"/>
  <c r="R190" i="16" s="1"/>
  <c r="L190" i="16"/>
  <c r="Q190" i="16" s="1"/>
  <c r="K190" i="16"/>
  <c r="P190" i="16" s="1"/>
  <c r="J190" i="16"/>
  <c r="M189" i="16"/>
  <c r="R189" i="16" s="1"/>
  <c r="L189" i="16"/>
  <c r="Q189" i="16" s="1"/>
  <c r="K189" i="16"/>
  <c r="P189" i="16" s="1"/>
  <c r="J189" i="16"/>
  <c r="M188" i="16"/>
  <c r="R188" i="16" s="1"/>
  <c r="L188" i="16"/>
  <c r="Q188" i="16" s="1"/>
  <c r="K188" i="16"/>
  <c r="J188" i="16"/>
  <c r="O188" i="16" s="1"/>
  <c r="M187" i="16"/>
  <c r="R187" i="16" s="1"/>
  <c r="L187" i="16"/>
  <c r="Q187" i="16" s="1"/>
  <c r="K187" i="16"/>
  <c r="P187" i="16" s="1"/>
  <c r="J187" i="16"/>
  <c r="O187" i="16" s="1"/>
  <c r="M186" i="16"/>
  <c r="R186" i="16" s="1"/>
  <c r="L186" i="16"/>
  <c r="Q186" i="16" s="1"/>
  <c r="K186" i="16"/>
  <c r="P186" i="16" s="1"/>
  <c r="J186" i="16"/>
  <c r="M185" i="16"/>
  <c r="R185" i="16" s="1"/>
  <c r="L185" i="16"/>
  <c r="Q185" i="16" s="1"/>
  <c r="K185" i="16"/>
  <c r="P185" i="16" s="1"/>
  <c r="J185" i="16"/>
  <c r="O185" i="16" s="1"/>
  <c r="M184" i="16"/>
  <c r="R184" i="16" s="1"/>
  <c r="L184" i="16"/>
  <c r="Q184" i="16" s="1"/>
  <c r="K184" i="16"/>
  <c r="P184" i="16" s="1"/>
  <c r="J184" i="16"/>
  <c r="O184" i="16" s="1"/>
  <c r="M183" i="16"/>
  <c r="R183" i="16" s="1"/>
  <c r="L183" i="16"/>
  <c r="Q183" i="16" s="1"/>
  <c r="K183" i="16"/>
  <c r="P183" i="16" s="1"/>
  <c r="J183" i="16"/>
  <c r="M182" i="16"/>
  <c r="R182" i="16" s="1"/>
  <c r="L182" i="16"/>
  <c r="Q182" i="16" s="1"/>
  <c r="K182" i="16"/>
  <c r="P182" i="16" s="1"/>
  <c r="J182" i="16"/>
  <c r="M181" i="16"/>
  <c r="R181" i="16" s="1"/>
  <c r="L181" i="16"/>
  <c r="Q181" i="16" s="1"/>
  <c r="K181" i="16"/>
  <c r="P181" i="16" s="1"/>
  <c r="J181" i="16"/>
  <c r="M180" i="16"/>
  <c r="R180" i="16" s="1"/>
  <c r="L180" i="16"/>
  <c r="Q180" i="16" s="1"/>
  <c r="K180" i="16"/>
  <c r="J180" i="16"/>
  <c r="O180" i="16" s="1"/>
  <c r="M179" i="16"/>
  <c r="R179" i="16" s="1"/>
  <c r="L179" i="16"/>
  <c r="Q179" i="16" s="1"/>
  <c r="K179" i="16"/>
  <c r="P179" i="16" s="1"/>
  <c r="J179" i="16"/>
  <c r="M178" i="16"/>
  <c r="R178" i="16" s="1"/>
  <c r="L178" i="16"/>
  <c r="Q178" i="16" s="1"/>
  <c r="K178" i="16"/>
  <c r="P178" i="16" s="1"/>
  <c r="J178" i="16"/>
  <c r="M177" i="16"/>
  <c r="R177" i="16" s="1"/>
  <c r="L177" i="16"/>
  <c r="Q177" i="16" s="1"/>
  <c r="K177" i="16"/>
  <c r="P177" i="16" s="1"/>
  <c r="J177" i="16"/>
  <c r="O177" i="16" s="1"/>
  <c r="M176" i="16"/>
  <c r="R176" i="16" s="1"/>
  <c r="L176" i="16"/>
  <c r="Q176" i="16" s="1"/>
  <c r="K176" i="16"/>
  <c r="P176" i="16" s="1"/>
  <c r="J176" i="16"/>
  <c r="O176" i="16" s="1"/>
  <c r="M175" i="16"/>
  <c r="R175" i="16" s="1"/>
  <c r="L175" i="16"/>
  <c r="Q175" i="16" s="1"/>
  <c r="K175" i="16"/>
  <c r="J175" i="16"/>
  <c r="O175" i="16" s="1"/>
  <c r="M174" i="16"/>
  <c r="R174" i="16" s="1"/>
  <c r="L174" i="16"/>
  <c r="Q174" i="16" s="1"/>
  <c r="K174" i="16"/>
  <c r="P174" i="16" s="1"/>
  <c r="J174" i="16"/>
  <c r="O174" i="16" s="1"/>
  <c r="M173" i="16"/>
  <c r="R173" i="16" s="1"/>
  <c r="L173" i="16"/>
  <c r="Q173" i="16" s="1"/>
  <c r="K173" i="16"/>
  <c r="P173" i="16" s="1"/>
  <c r="J173" i="16"/>
  <c r="M172" i="16"/>
  <c r="R172" i="16" s="1"/>
  <c r="L172" i="16"/>
  <c r="Q172" i="16" s="1"/>
  <c r="K172" i="16"/>
  <c r="P172" i="16" s="1"/>
  <c r="J172" i="16"/>
  <c r="O172" i="16" s="1"/>
  <c r="M171" i="16"/>
  <c r="R171" i="16" s="1"/>
  <c r="L171" i="16"/>
  <c r="Q171" i="16" s="1"/>
  <c r="K171" i="16"/>
  <c r="P171" i="16" s="1"/>
  <c r="J171" i="16"/>
  <c r="O171" i="16" s="1"/>
  <c r="M170" i="16"/>
  <c r="R170" i="16" s="1"/>
  <c r="L170" i="16"/>
  <c r="Q170" i="16" s="1"/>
  <c r="K170" i="16"/>
  <c r="P170" i="16" s="1"/>
  <c r="J170" i="16"/>
  <c r="M169" i="16"/>
  <c r="R169" i="16" s="1"/>
  <c r="L169" i="16"/>
  <c r="Q169" i="16" s="1"/>
  <c r="K169" i="16"/>
  <c r="P169" i="16" s="1"/>
  <c r="J169" i="16"/>
  <c r="M168" i="16"/>
  <c r="R168" i="16" s="1"/>
  <c r="L168" i="16"/>
  <c r="Q168" i="16" s="1"/>
  <c r="K168" i="16"/>
  <c r="J168" i="16"/>
  <c r="O168" i="16" s="1"/>
  <c r="M167" i="16"/>
  <c r="R167" i="16" s="1"/>
  <c r="L167" i="16"/>
  <c r="Q167" i="16" s="1"/>
  <c r="K167" i="16"/>
  <c r="P167" i="16" s="1"/>
  <c r="J167" i="16"/>
  <c r="M166" i="16"/>
  <c r="R166" i="16" s="1"/>
  <c r="L166" i="16"/>
  <c r="Q166" i="16" s="1"/>
  <c r="K166" i="16"/>
  <c r="P166" i="16" s="1"/>
  <c r="J166" i="16"/>
  <c r="O166" i="16" s="1"/>
  <c r="M165" i="16"/>
  <c r="R165" i="16" s="1"/>
  <c r="L165" i="16"/>
  <c r="Q165" i="16" s="1"/>
  <c r="K165" i="16"/>
  <c r="P165" i="16" s="1"/>
  <c r="J165" i="16"/>
  <c r="M164" i="16"/>
  <c r="R164" i="16" s="1"/>
  <c r="L164" i="16"/>
  <c r="Q164" i="16" s="1"/>
  <c r="K164" i="16"/>
  <c r="P164" i="16" s="1"/>
  <c r="J164" i="16"/>
  <c r="O164" i="16" s="1"/>
  <c r="M163" i="16"/>
  <c r="R163" i="16" s="1"/>
  <c r="L163" i="16"/>
  <c r="Q163" i="16" s="1"/>
  <c r="K163" i="16"/>
  <c r="P163" i="16" s="1"/>
  <c r="J163" i="16"/>
  <c r="O163" i="16" s="1"/>
  <c r="M162" i="16"/>
  <c r="R162" i="16" s="1"/>
  <c r="L162" i="16"/>
  <c r="Q162" i="16" s="1"/>
  <c r="K162" i="16"/>
  <c r="P162" i="16" s="1"/>
  <c r="J162" i="16"/>
  <c r="M161" i="16"/>
  <c r="R161" i="16" s="1"/>
  <c r="L161" i="16"/>
  <c r="Q161" i="16" s="1"/>
  <c r="K161" i="16"/>
  <c r="P161" i="16" s="1"/>
  <c r="J161" i="16"/>
  <c r="M160" i="16"/>
  <c r="R160" i="16" s="1"/>
  <c r="L160" i="16"/>
  <c r="Q160" i="16" s="1"/>
  <c r="K160" i="16"/>
  <c r="P160" i="16" s="1"/>
  <c r="J160" i="16"/>
  <c r="M159" i="16"/>
  <c r="R159" i="16" s="1"/>
  <c r="L159" i="16"/>
  <c r="Q159" i="16" s="1"/>
  <c r="K159" i="16"/>
  <c r="P159" i="16" s="1"/>
  <c r="J159" i="16"/>
  <c r="M158" i="16"/>
  <c r="R158" i="16" s="1"/>
  <c r="L158" i="16"/>
  <c r="K158" i="16"/>
  <c r="P158" i="16" s="1"/>
  <c r="J158" i="16"/>
  <c r="O158" i="16" s="1"/>
  <c r="M157" i="16"/>
  <c r="R157" i="16" s="1"/>
  <c r="L157" i="16"/>
  <c r="Q157" i="16" s="1"/>
  <c r="K157" i="16"/>
  <c r="P157" i="16" s="1"/>
  <c r="J157" i="16"/>
  <c r="M156" i="16"/>
  <c r="R156" i="16" s="1"/>
  <c r="L156" i="16"/>
  <c r="Q156" i="16" s="1"/>
  <c r="K156" i="16"/>
  <c r="P156" i="16" s="1"/>
  <c r="J156" i="16"/>
  <c r="O156" i="16" s="1"/>
  <c r="M155" i="16"/>
  <c r="R155" i="16" s="1"/>
  <c r="L155" i="16"/>
  <c r="Q155" i="16" s="1"/>
  <c r="K155" i="16"/>
  <c r="P155" i="16" s="1"/>
  <c r="J155" i="16"/>
  <c r="O155" i="16" s="1"/>
  <c r="M154" i="16"/>
  <c r="R154" i="16" s="1"/>
  <c r="L154" i="16"/>
  <c r="Q154" i="16" s="1"/>
  <c r="K154" i="16"/>
  <c r="P154" i="16" s="1"/>
  <c r="J154" i="16"/>
  <c r="M153" i="16"/>
  <c r="R153" i="16" s="1"/>
  <c r="L153" i="16"/>
  <c r="Q153" i="16" s="1"/>
  <c r="K153" i="16"/>
  <c r="P153" i="16" s="1"/>
  <c r="J153" i="16"/>
  <c r="O153" i="16" s="1"/>
  <c r="M152" i="16"/>
  <c r="R152" i="16" s="1"/>
  <c r="L152" i="16"/>
  <c r="Q152" i="16" s="1"/>
  <c r="K152" i="16"/>
  <c r="P152" i="16" s="1"/>
  <c r="J152" i="16"/>
  <c r="M151" i="16"/>
  <c r="R151" i="16" s="1"/>
  <c r="L151" i="16"/>
  <c r="Q151" i="16" s="1"/>
  <c r="K151" i="16"/>
  <c r="J151" i="16"/>
  <c r="O151" i="16" s="1"/>
  <c r="M150" i="16"/>
  <c r="R150" i="16" s="1"/>
  <c r="L150" i="16"/>
  <c r="Q150" i="16" s="1"/>
  <c r="K150" i="16"/>
  <c r="P150" i="16" s="1"/>
  <c r="J150" i="16"/>
  <c r="M149" i="16"/>
  <c r="R149" i="16" s="1"/>
  <c r="L149" i="16"/>
  <c r="Q149" i="16" s="1"/>
  <c r="K149" i="16"/>
  <c r="P149" i="16" s="1"/>
  <c r="J149" i="16"/>
  <c r="O149" i="16" s="1"/>
  <c r="M148" i="16"/>
  <c r="R148" i="16" s="1"/>
  <c r="L148" i="16"/>
  <c r="Q148" i="16" s="1"/>
  <c r="K148" i="16"/>
  <c r="P148" i="16" s="1"/>
  <c r="J148" i="16"/>
  <c r="O148" i="16" s="1"/>
  <c r="M147" i="16"/>
  <c r="R147" i="16" s="1"/>
  <c r="L147" i="16"/>
  <c r="Q147" i="16" s="1"/>
  <c r="K147" i="16"/>
  <c r="P147" i="16" s="1"/>
  <c r="J147" i="16"/>
  <c r="M146" i="16"/>
  <c r="R146" i="16" s="1"/>
  <c r="L146" i="16"/>
  <c r="Q146" i="16" s="1"/>
  <c r="K146" i="16"/>
  <c r="P146" i="16" s="1"/>
  <c r="J146" i="16"/>
  <c r="O146" i="16" s="1"/>
  <c r="M145" i="16"/>
  <c r="R145" i="16" s="1"/>
  <c r="L145" i="16"/>
  <c r="Q145" i="16" s="1"/>
  <c r="K145" i="16"/>
  <c r="P145" i="16" s="1"/>
  <c r="J145" i="16"/>
  <c r="O145" i="16" s="1"/>
  <c r="M144" i="16"/>
  <c r="R144" i="16" s="1"/>
  <c r="L144" i="16"/>
  <c r="Q144" i="16" s="1"/>
  <c r="K144" i="16"/>
  <c r="J144" i="16"/>
  <c r="O144" i="16" s="1"/>
  <c r="M143" i="16"/>
  <c r="R143" i="16" s="1"/>
  <c r="L143" i="16"/>
  <c r="Q143" i="16" s="1"/>
  <c r="K143" i="16"/>
  <c r="P143" i="16" s="1"/>
  <c r="J143" i="16"/>
  <c r="M142" i="16"/>
  <c r="R142" i="16" s="1"/>
  <c r="L142" i="16"/>
  <c r="Q142" i="16" s="1"/>
  <c r="K142" i="16"/>
  <c r="P142" i="16" s="1"/>
  <c r="J142" i="16"/>
  <c r="O142" i="16" s="1"/>
  <c r="M141" i="16"/>
  <c r="R141" i="16" s="1"/>
  <c r="L141" i="16"/>
  <c r="Q141" i="16" s="1"/>
  <c r="K141" i="16"/>
  <c r="P141" i="16" s="1"/>
  <c r="J141" i="16"/>
  <c r="M140" i="16"/>
  <c r="R140" i="16" s="1"/>
  <c r="L140" i="16"/>
  <c r="Q140" i="16" s="1"/>
  <c r="K140" i="16"/>
  <c r="P140" i="16" s="1"/>
  <c r="J140" i="16"/>
  <c r="O140" i="16" s="1"/>
  <c r="M139" i="16"/>
  <c r="R139" i="16" s="1"/>
  <c r="L139" i="16"/>
  <c r="Q139" i="16" s="1"/>
  <c r="K139" i="16"/>
  <c r="P139" i="16" s="1"/>
  <c r="J139" i="16"/>
  <c r="M138" i="16"/>
  <c r="R138" i="16" s="1"/>
  <c r="L138" i="16"/>
  <c r="Q138" i="16" s="1"/>
  <c r="K138" i="16"/>
  <c r="P138" i="16" s="1"/>
  <c r="J138" i="16"/>
  <c r="M137" i="16"/>
  <c r="R137" i="16" s="1"/>
  <c r="L137" i="16"/>
  <c r="Q137" i="16" s="1"/>
  <c r="K137" i="16"/>
  <c r="P137" i="16" s="1"/>
  <c r="J137" i="16"/>
  <c r="M136" i="16"/>
  <c r="R136" i="16" s="1"/>
  <c r="L136" i="16"/>
  <c r="Q136" i="16" s="1"/>
  <c r="K136" i="16"/>
  <c r="J136" i="16"/>
  <c r="O136" i="16" s="1"/>
  <c r="M135" i="16"/>
  <c r="R135" i="16" s="1"/>
  <c r="L135" i="16"/>
  <c r="Q135" i="16" s="1"/>
  <c r="K135" i="16"/>
  <c r="P135" i="16" s="1"/>
  <c r="J135" i="16"/>
  <c r="M134" i="16"/>
  <c r="R134" i="16" s="1"/>
  <c r="L134" i="16"/>
  <c r="Q134" i="16" s="1"/>
  <c r="K134" i="16"/>
  <c r="P134" i="16" s="1"/>
  <c r="J134" i="16"/>
  <c r="O134" i="16" s="1"/>
  <c r="M133" i="16"/>
  <c r="R133" i="16" s="1"/>
  <c r="L133" i="16"/>
  <c r="Q133" i="16" s="1"/>
  <c r="K133" i="16"/>
  <c r="P133" i="16" s="1"/>
  <c r="J133" i="16"/>
  <c r="M132" i="16"/>
  <c r="R132" i="16" s="1"/>
  <c r="L132" i="16"/>
  <c r="Q132" i="16" s="1"/>
  <c r="K132" i="16"/>
  <c r="P132" i="16" s="1"/>
  <c r="J132" i="16"/>
  <c r="M131" i="16"/>
  <c r="R131" i="16" s="1"/>
  <c r="L131" i="16"/>
  <c r="Q131" i="16" s="1"/>
  <c r="K131" i="16"/>
  <c r="P131" i="16" s="1"/>
  <c r="J131" i="16"/>
  <c r="M130" i="16"/>
  <c r="R130" i="16" s="1"/>
  <c r="L130" i="16"/>
  <c r="Q130" i="16" s="1"/>
  <c r="K130" i="16"/>
  <c r="P130" i="16" s="1"/>
  <c r="J130" i="16"/>
  <c r="M129" i="16"/>
  <c r="R129" i="16" s="1"/>
  <c r="L129" i="16"/>
  <c r="Q129" i="16" s="1"/>
  <c r="K129" i="16"/>
  <c r="P129" i="16" s="1"/>
  <c r="J129" i="16"/>
  <c r="O129" i="16" s="1"/>
  <c r="M128" i="16"/>
  <c r="R128" i="16" s="1"/>
  <c r="L128" i="16"/>
  <c r="Q128" i="16" s="1"/>
  <c r="K128" i="16"/>
  <c r="J128" i="16"/>
  <c r="O128" i="16" s="1"/>
  <c r="M127" i="16"/>
  <c r="R127" i="16" s="1"/>
  <c r="L127" i="16"/>
  <c r="Q127" i="16" s="1"/>
  <c r="K127" i="16"/>
  <c r="P127" i="16" s="1"/>
  <c r="J127" i="16"/>
  <c r="O127" i="16" s="1"/>
  <c r="M126" i="16"/>
  <c r="R126" i="16" s="1"/>
  <c r="L126" i="16"/>
  <c r="Q126" i="16" s="1"/>
  <c r="K126" i="16"/>
  <c r="P126" i="16" s="1"/>
  <c r="J126" i="16"/>
  <c r="M125" i="16"/>
  <c r="R125" i="16" s="1"/>
  <c r="L125" i="16"/>
  <c r="Q125" i="16" s="1"/>
  <c r="K125" i="16"/>
  <c r="P125" i="16" s="1"/>
  <c r="J125" i="16"/>
  <c r="M124" i="16"/>
  <c r="R124" i="16" s="1"/>
  <c r="L124" i="16"/>
  <c r="Q124" i="16" s="1"/>
  <c r="K124" i="16"/>
  <c r="P124" i="16" s="1"/>
  <c r="J124" i="16"/>
  <c r="M123" i="16"/>
  <c r="R123" i="16" s="1"/>
  <c r="L123" i="16"/>
  <c r="Q123" i="16" s="1"/>
  <c r="K123" i="16"/>
  <c r="P123" i="16" s="1"/>
  <c r="J123" i="16"/>
  <c r="M122" i="16"/>
  <c r="R122" i="16" s="1"/>
  <c r="L122" i="16"/>
  <c r="Q122" i="16" s="1"/>
  <c r="K122" i="16"/>
  <c r="P122" i="16" s="1"/>
  <c r="J122" i="16"/>
  <c r="M121" i="16"/>
  <c r="R121" i="16" s="1"/>
  <c r="L121" i="16"/>
  <c r="Q121" i="16" s="1"/>
  <c r="K121" i="16"/>
  <c r="P121" i="16" s="1"/>
  <c r="J121" i="16"/>
  <c r="M120" i="16"/>
  <c r="R120" i="16" s="1"/>
  <c r="L120" i="16"/>
  <c r="Q120" i="16" s="1"/>
  <c r="K120" i="16"/>
  <c r="J120" i="16"/>
  <c r="O120" i="16" s="1"/>
  <c r="M119" i="16"/>
  <c r="R119" i="16" s="1"/>
  <c r="L119" i="16"/>
  <c r="Q119" i="16" s="1"/>
  <c r="K119" i="16"/>
  <c r="P119" i="16" s="1"/>
  <c r="J119" i="16"/>
  <c r="M118" i="16"/>
  <c r="R118" i="16" s="1"/>
  <c r="L118" i="16"/>
  <c r="Q118" i="16" s="1"/>
  <c r="K118" i="16"/>
  <c r="J118" i="16"/>
  <c r="O118" i="16" s="1"/>
  <c r="M117" i="16"/>
  <c r="R117" i="16" s="1"/>
  <c r="L117" i="16"/>
  <c r="Q117" i="16" s="1"/>
  <c r="K117" i="16"/>
  <c r="P117" i="16" s="1"/>
  <c r="J117" i="16"/>
  <c r="M116" i="16"/>
  <c r="R116" i="16" s="1"/>
  <c r="L116" i="16"/>
  <c r="Q116" i="16" s="1"/>
  <c r="K116" i="16"/>
  <c r="P116" i="16" s="1"/>
  <c r="J116" i="16"/>
  <c r="M115" i="16"/>
  <c r="R115" i="16" s="1"/>
  <c r="L115" i="16"/>
  <c r="Q115" i="16" s="1"/>
  <c r="K115" i="16"/>
  <c r="P115" i="16" s="1"/>
  <c r="J115" i="16"/>
  <c r="M114" i="16"/>
  <c r="R114" i="16" s="1"/>
  <c r="L114" i="16"/>
  <c r="Q114" i="16" s="1"/>
  <c r="K114" i="16"/>
  <c r="J114" i="16"/>
  <c r="O114" i="16" s="1"/>
  <c r="M113" i="16"/>
  <c r="R113" i="16" s="1"/>
  <c r="L113" i="16"/>
  <c r="Q113" i="16" s="1"/>
  <c r="K113" i="16"/>
  <c r="P113" i="16" s="1"/>
  <c r="J113" i="16"/>
  <c r="O113" i="16" s="1"/>
  <c r="M112" i="16"/>
  <c r="R112" i="16" s="1"/>
  <c r="L112" i="16"/>
  <c r="Q112" i="16" s="1"/>
  <c r="K112" i="16"/>
  <c r="J112" i="16"/>
  <c r="O112" i="16" s="1"/>
  <c r="M111" i="16"/>
  <c r="R111" i="16" s="1"/>
  <c r="L111" i="16"/>
  <c r="Q111" i="16" s="1"/>
  <c r="K111" i="16"/>
  <c r="P111" i="16" s="1"/>
  <c r="J111" i="16"/>
  <c r="M110" i="16"/>
  <c r="R110" i="16" s="1"/>
  <c r="L110" i="16"/>
  <c r="Q110" i="16" s="1"/>
  <c r="K110" i="16"/>
  <c r="J110" i="16"/>
  <c r="O110" i="16" s="1"/>
  <c r="M109" i="16"/>
  <c r="R109" i="16" s="1"/>
  <c r="L109" i="16"/>
  <c r="Q109" i="16" s="1"/>
  <c r="K109" i="16"/>
  <c r="P109" i="16" s="1"/>
  <c r="J109" i="16"/>
  <c r="M108" i="16"/>
  <c r="R108" i="16" s="1"/>
  <c r="L108" i="16"/>
  <c r="Q108" i="16" s="1"/>
  <c r="K108" i="16"/>
  <c r="P108" i="16" s="1"/>
  <c r="J108" i="16"/>
  <c r="O108" i="16" s="1"/>
  <c r="M107" i="16"/>
  <c r="R107" i="16" s="1"/>
  <c r="L107" i="16"/>
  <c r="Q107" i="16" s="1"/>
  <c r="K107" i="16"/>
  <c r="P107" i="16" s="1"/>
  <c r="J107" i="16"/>
  <c r="M106" i="16"/>
  <c r="R106" i="16" s="1"/>
  <c r="L106" i="16"/>
  <c r="Q106" i="16" s="1"/>
  <c r="K106" i="16"/>
  <c r="P106" i="16" s="1"/>
  <c r="J106" i="16"/>
  <c r="M105" i="16"/>
  <c r="R105" i="16" s="1"/>
  <c r="L105" i="16"/>
  <c r="Q105" i="16" s="1"/>
  <c r="K105" i="16"/>
  <c r="P105" i="16" s="1"/>
  <c r="J105" i="16"/>
  <c r="O105" i="16" s="1"/>
  <c r="M104" i="16"/>
  <c r="R104" i="16" s="1"/>
  <c r="L104" i="16"/>
  <c r="Q104" i="16" s="1"/>
  <c r="K104" i="16"/>
  <c r="J104" i="16"/>
  <c r="O104" i="16" s="1"/>
  <c r="M103" i="16"/>
  <c r="R103" i="16" s="1"/>
  <c r="L103" i="16"/>
  <c r="Q103" i="16" s="1"/>
  <c r="K103" i="16"/>
  <c r="P103" i="16" s="1"/>
  <c r="J103" i="16"/>
  <c r="M102" i="16"/>
  <c r="R102" i="16" s="1"/>
  <c r="L102" i="16"/>
  <c r="Q102" i="16" s="1"/>
  <c r="K102" i="16"/>
  <c r="P102" i="16" s="1"/>
  <c r="J102" i="16"/>
  <c r="O102" i="16" s="1"/>
  <c r="M101" i="16"/>
  <c r="R101" i="16" s="1"/>
  <c r="L101" i="16"/>
  <c r="Q101" i="16" s="1"/>
  <c r="K101" i="16"/>
  <c r="P101" i="16" s="1"/>
  <c r="J101" i="16"/>
  <c r="M100" i="16"/>
  <c r="R100" i="16" s="1"/>
  <c r="L100" i="16"/>
  <c r="Q100" i="16" s="1"/>
  <c r="K100" i="16"/>
  <c r="P100" i="16" s="1"/>
  <c r="J100" i="16"/>
  <c r="M99" i="16"/>
  <c r="R99" i="16" s="1"/>
  <c r="L99" i="16"/>
  <c r="Q99" i="16" s="1"/>
  <c r="K99" i="16"/>
  <c r="P99" i="16" s="1"/>
  <c r="J99" i="16"/>
  <c r="M98" i="16"/>
  <c r="R98" i="16" s="1"/>
  <c r="L98" i="16"/>
  <c r="Q98" i="16" s="1"/>
  <c r="K98" i="16"/>
  <c r="P98" i="16" s="1"/>
  <c r="J98" i="16"/>
  <c r="M97" i="16"/>
  <c r="R97" i="16" s="1"/>
  <c r="L97" i="16"/>
  <c r="Q97" i="16" s="1"/>
  <c r="K97" i="16"/>
  <c r="P97" i="16" s="1"/>
  <c r="J97" i="16"/>
  <c r="M96" i="16"/>
  <c r="R96" i="16" s="1"/>
  <c r="L96" i="16"/>
  <c r="Q96" i="16" s="1"/>
  <c r="K96" i="16"/>
  <c r="J96" i="16"/>
  <c r="O96" i="16" s="1"/>
  <c r="M95" i="16"/>
  <c r="R95" i="16" s="1"/>
  <c r="L95" i="16"/>
  <c r="Q95" i="16" s="1"/>
  <c r="K95" i="16"/>
  <c r="P95" i="16" s="1"/>
  <c r="J95" i="16"/>
  <c r="O95" i="16" s="1"/>
  <c r="M94" i="16"/>
  <c r="R94" i="16" s="1"/>
  <c r="L94" i="16"/>
  <c r="Q94" i="16" s="1"/>
  <c r="K94" i="16"/>
  <c r="P94" i="16" s="1"/>
  <c r="J94" i="16"/>
  <c r="M93" i="16"/>
  <c r="R93" i="16" s="1"/>
  <c r="L93" i="16"/>
  <c r="Q93" i="16" s="1"/>
  <c r="K93" i="16"/>
  <c r="P93" i="16" s="1"/>
  <c r="J93" i="16"/>
  <c r="M92" i="16"/>
  <c r="R92" i="16" s="1"/>
  <c r="L92" i="16"/>
  <c r="Q92" i="16" s="1"/>
  <c r="K92" i="16"/>
  <c r="P92" i="16" s="1"/>
  <c r="J92" i="16"/>
  <c r="M91" i="16"/>
  <c r="R91" i="16" s="1"/>
  <c r="L91" i="16"/>
  <c r="Q91" i="16" s="1"/>
  <c r="K91" i="16"/>
  <c r="P91" i="16" s="1"/>
  <c r="J91" i="16"/>
  <c r="M90" i="16"/>
  <c r="R90" i="16" s="1"/>
  <c r="L90" i="16"/>
  <c r="Q90" i="16" s="1"/>
  <c r="K90" i="16"/>
  <c r="J90" i="16"/>
  <c r="O90" i="16" s="1"/>
  <c r="M89" i="16"/>
  <c r="R89" i="16" s="1"/>
  <c r="L89" i="16"/>
  <c r="Q89" i="16" s="1"/>
  <c r="K89" i="16"/>
  <c r="P89" i="16" s="1"/>
  <c r="J89" i="16"/>
  <c r="M88" i="16"/>
  <c r="R88" i="16" s="1"/>
  <c r="L88" i="16"/>
  <c r="Q88" i="16" s="1"/>
  <c r="K88" i="16"/>
  <c r="J88" i="16"/>
  <c r="O88" i="16" s="1"/>
  <c r="M87" i="16"/>
  <c r="R87" i="16" s="1"/>
  <c r="L87" i="16"/>
  <c r="Q87" i="16" s="1"/>
  <c r="K87" i="16"/>
  <c r="P87" i="16" s="1"/>
  <c r="J87" i="16"/>
  <c r="O87" i="16" s="1"/>
  <c r="M86" i="16"/>
  <c r="R86" i="16" s="1"/>
  <c r="L86" i="16"/>
  <c r="Q86" i="16" s="1"/>
  <c r="K86" i="16"/>
  <c r="P86" i="16" s="1"/>
  <c r="J86" i="16"/>
  <c r="O86" i="16" s="1"/>
  <c r="M85" i="16"/>
  <c r="R85" i="16" s="1"/>
  <c r="L85" i="16"/>
  <c r="Q85" i="16" s="1"/>
  <c r="K85" i="16"/>
  <c r="P85" i="16" s="1"/>
  <c r="J85" i="16"/>
  <c r="M84" i="16"/>
  <c r="R84" i="16" s="1"/>
  <c r="L84" i="16"/>
  <c r="Q84" i="16" s="1"/>
  <c r="K84" i="16"/>
  <c r="P84" i="16" s="1"/>
  <c r="J84" i="16"/>
  <c r="M83" i="16"/>
  <c r="R83" i="16" s="1"/>
  <c r="L83" i="16"/>
  <c r="Q83" i="16" s="1"/>
  <c r="K83" i="16"/>
  <c r="P83" i="16" s="1"/>
  <c r="J83" i="16"/>
  <c r="M82" i="16"/>
  <c r="R82" i="16" s="1"/>
  <c r="L82" i="16"/>
  <c r="Q82" i="16" s="1"/>
  <c r="K82" i="16"/>
  <c r="J82" i="16"/>
  <c r="O82" i="16" s="1"/>
  <c r="M81" i="16"/>
  <c r="R81" i="16" s="1"/>
  <c r="L81" i="16"/>
  <c r="Q81" i="16" s="1"/>
  <c r="K81" i="16"/>
  <c r="P81" i="16" s="1"/>
  <c r="J81" i="16"/>
  <c r="M80" i="16"/>
  <c r="R80" i="16" s="1"/>
  <c r="L80" i="16"/>
  <c r="Q80" i="16" s="1"/>
  <c r="K80" i="16"/>
  <c r="J80" i="16"/>
  <c r="O80" i="16" s="1"/>
  <c r="M79" i="16"/>
  <c r="R79" i="16" s="1"/>
  <c r="L79" i="16"/>
  <c r="Q79" i="16" s="1"/>
  <c r="K79" i="16"/>
  <c r="P79" i="16" s="1"/>
  <c r="J79" i="16"/>
  <c r="M78" i="16"/>
  <c r="R78" i="16" s="1"/>
  <c r="L78" i="16"/>
  <c r="K78" i="16"/>
  <c r="P78" i="16" s="1"/>
  <c r="J78" i="16"/>
  <c r="O78" i="16" s="1"/>
  <c r="M77" i="16"/>
  <c r="R77" i="16" s="1"/>
  <c r="L77" i="16"/>
  <c r="Q77" i="16" s="1"/>
  <c r="K77" i="16"/>
  <c r="P77" i="16" s="1"/>
  <c r="J77" i="16"/>
  <c r="M76" i="16"/>
  <c r="R76" i="16" s="1"/>
  <c r="L76" i="16"/>
  <c r="Q76" i="16" s="1"/>
  <c r="K76" i="16"/>
  <c r="P76" i="16" s="1"/>
  <c r="J76" i="16"/>
  <c r="M75" i="16"/>
  <c r="R75" i="16" s="1"/>
  <c r="L75" i="16"/>
  <c r="Q75" i="16" s="1"/>
  <c r="K75" i="16"/>
  <c r="P75" i="16" s="1"/>
  <c r="J75" i="16"/>
  <c r="M74" i="16"/>
  <c r="R74" i="16" s="1"/>
  <c r="L74" i="16"/>
  <c r="Q74" i="16" s="1"/>
  <c r="K74" i="16"/>
  <c r="P74" i="16" s="1"/>
  <c r="J74" i="16"/>
  <c r="M73" i="16"/>
  <c r="R73" i="16" s="1"/>
  <c r="L73" i="16"/>
  <c r="Q73" i="16" s="1"/>
  <c r="K73" i="16"/>
  <c r="P73" i="16" s="1"/>
  <c r="J73" i="16"/>
  <c r="M72" i="16"/>
  <c r="R72" i="16" s="1"/>
  <c r="L72" i="16"/>
  <c r="Q72" i="16" s="1"/>
  <c r="K72" i="16"/>
  <c r="J72" i="16"/>
  <c r="O72" i="16" s="1"/>
  <c r="M71" i="16"/>
  <c r="R71" i="16" s="1"/>
  <c r="L71" i="16"/>
  <c r="Q71" i="16" s="1"/>
  <c r="K71" i="16"/>
  <c r="P71" i="16" s="1"/>
  <c r="J71" i="16"/>
  <c r="O71" i="16" s="1"/>
  <c r="M70" i="16"/>
  <c r="R70" i="16" s="1"/>
  <c r="L70" i="16"/>
  <c r="Q70" i="16" s="1"/>
  <c r="K70" i="16"/>
  <c r="P70" i="16" s="1"/>
  <c r="J70" i="16"/>
  <c r="O70" i="16" s="1"/>
  <c r="M69" i="16"/>
  <c r="R69" i="16" s="1"/>
  <c r="L69" i="16"/>
  <c r="Q69" i="16" s="1"/>
  <c r="K69" i="16"/>
  <c r="P69" i="16" s="1"/>
  <c r="J69" i="16"/>
  <c r="M68" i="16"/>
  <c r="R68" i="16" s="1"/>
  <c r="L68" i="16"/>
  <c r="Q68" i="16" s="1"/>
  <c r="K68" i="16"/>
  <c r="P68" i="16" s="1"/>
  <c r="J68" i="16"/>
  <c r="M67" i="16"/>
  <c r="R67" i="16" s="1"/>
  <c r="L67" i="16"/>
  <c r="Q67" i="16" s="1"/>
  <c r="K67" i="16"/>
  <c r="P67" i="16" s="1"/>
  <c r="J67" i="16"/>
  <c r="M66" i="16"/>
  <c r="R66" i="16" s="1"/>
  <c r="L66" i="16"/>
  <c r="Q66" i="16" s="1"/>
  <c r="K66" i="16"/>
  <c r="J66" i="16"/>
  <c r="O66" i="16" s="1"/>
  <c r="M65" i="16"/>
  <c r="R65" i="16" s="1"/>
  <c r="L65" i="16"/>
  <c r="Q65" i="16" s="1"/>
  <c r="K65" i="16"/>
  <c r="P65" i="16" s="1"/>
  <c r="J65" i="16"/>
  <c r="M64" i="16"/>
  <c r="R64" i="16" s="1"/>
  <c r="L64" i="16"/>
  <c r="Q64" i="16" s="1"/>
  <c r="K64" i="16"/>
  <c r="J64" i="16"/>
  <c r="O64" i="16" s="1"/>
  <c r="M63" i="16"/>
  <c r="R63" i="16" s="1"/>
  <c r="L63" i="16"/>
  <c r="Q63" i="16" s="1"/>
  <c r="K63" i="16"/>
  <c r="P63" i="16" s="1"/>
  <c r="J63" i="16"/>
  <c r="O63" i="16" s="1"/>
  <c r="M62" i="16"/>
  <c r="R62" i="16" s="1"/>
  <c r="L62" i="16"/>
  <c r="Q62" i="16" s="1"/>
  <c r="K62" i="16"/>
  <c r="P62" i="16" s="1"/>
  <c r="J62" i="16"/>
  <c r="M61" i="16"/>
  <c r="R61" i="16" s="1"/>
  <c r="L61" i="16"/>
  <c r="Q61" i="16" s="1"/>
  <c r="K61" i="16"/>
  <c r="P61" i="16" s="1"/>
  <c r="J61" i="16"/>
  <c r="M60" i="16"/>
  <c r="R60" i="16" s="1"/>
  <c r="L60" i="16"/>
  <c r="Q60" i="16" s="1"/>
  <c r="K60" i="16"/>
  <c r="P60" i="16" s="1"/>
  <c r="J60" i="16"/>
  <c r="O60" i="16" s="1"/>
  <c r="M59" i="16"/>
  <c r="R59" i="16" s="1"/>
  <c r="L59" i="16"/>
  <c r="Q59" i="16" s="1"/>
  <c r="K59" i="16"/>
  <c r="P59" i="16" s="1"/>
  <c r="J59" i="16"/>
  <c r="M58" i="16"/>
  <c r="R58" i="16" s="1"/>
  <c r="L58" i="16"/>
  <c r="Q58" i="16" s="1"/>
  <c r="K58" i="16"/>
  <c r="P58" i="16" s="1"/>
  <c r="J58" i="16"/>
  <c r="M57" i="16"/>
  <c r="R57" i="16" s="1"/>
  <c r="L57" i="16"/>
  <c r="Q57" i="16" s="1"/>
  <c r="K57" i="16"/>
  <c r="P57" i="16" s="1"/>
  <c r="J57" i="16"/>
  <c r="M56" i="16"/>
  <c r="R56" i="16" s="1"/>
  <c r="L56" i="16"/>
  <c r="Q56" i="16" s="1"/>
  <c r="K56" i="16"/>
  <c r="J56" i="16"/>
  <c r="O56" i="16" s="1"/>
  <c r="M55" i="16"/>
  <c r="R55" i="16" s="1"/>
  <c r="L55" i="16"/>
  <c r="Q55" i="16" s="1"/>
  <c r="K55" i="16"/>
  <c r="P55" i="16" s="1"/>
  <c r="J55" i="16"/>
  <c r="M54" i="16"/>
  <c r="R54" i="16" s="1"/>
  <c r="L54" i="16"/>
  <c r="Q54" i="16" s="1"/>
  <c r="K54" i="16"/>
  <c r="P54" i="16" s="1"/>
  <c r="J54" i="16"/>
  <c r="O54" i="16" s="1"/>
  <c r="M53" i="16"/>
  <c r="R53" i="16" s="1"/>
  <c r="L53" i="16"/>
  <c r="Q53" i="16" s="1"/>
  <c r="K53" i="16"/>
  <c r="P53" i="16" s="1"/>
  <c r="J53" i="16"/>
  <c r="M52" i="16"/>
  <c r="R52" i="16" s="1"/>
  <c r="L52" i="16"/>
  <c r="Q52" i="16" s="1"/>
  <c r="K52" i="16"/>
  <c r="P52" i="16" s="1"/>
  <c r="J52" i="16"/>
  <c r="O52" i="16" s="1"/>
  <c r="M51" i="16"/>
  <c r="R51" i="16" s="1"/>
  <c r="L51" i="16"/>
  <c r="Q51" i="16" s="1"/>
  <c r="K51" i="16"/>
  <c r="P51" i="16" s="1"/>
  <c r="J51" i="16"/>
  <c r="M50" i="16"/>
  <c r="R50" i="16" s="1"/>
  <c r="L50" i="16"/>
  <c r="Q50" i="16" s="1"/>
  <c r="K50" i="16"/>
  <c r="P50" i="16" s="1"/>
  <c r="J50" i="16"/>
  <c r="M49" i="16"/>
  <c r="R49" i="16" s="1"/>
  <c r="L49" i="16"/>
  <c r="Q49" i="16" s="1"/>
  <c r="K49" i="16"/>
  <c r="P49" i="16" s="1"/>
  <c r="J49" i="16"/>
  <c r="O49" i="16" s="1"/>
  <c r="M48" i="16"/>
  <c r="R48" i="16" s="1"/>
  <c r="L48" i="16"/>
  <c r="Q48" i="16" s="1"/>
  <c r="K48" i="16"/>
  <c r="J48" i="16"/>
  <c r="O48" i="16" s="1"/>
  <c r="M47" i="16"/>
  <c r="R47" i="16" s="1"/>
  <c r="L47" i="16"/>
  <c r="Q47" i="16" s="1"/>
  <c r="K47" i="16"/>
  <c r="P47" i="16" s="1"/>
  <c r="J47" i="16"/>
  <c r="M46" i="16"/>
  <c r="R46" i="16" s="1"/>
  <c r="L46" i="16"/>
  <c r="Q46" i="16" s="1"/>
  <c r="K46" i="16"/>
  <c r="P46" i="16" s="1"/>
  <c r="J46" i="16"/>
  <c r="M45" i="16"/>
  <c r="R45" i="16" s="1"/>
  <c r="L45" i="16"/>
  <c r="Q45" i="16" s="1"/>
  <c r="K45" i="16"/>
  <c r="P45" i="16" s="1"/>
  <c r="J45" i="16"/>
  <c r="M44" i="16"/>
  <c r="R44" i="16" s="1"/>
  <c r="L44" i="16"/>
  <c r="Q44" i="16" s="1"/>
  <c r="K44" i="16"/>
  <c r="P44" i="16" s="1"/>
  <c r="J44" i="16"/>
  <c r="O44" i="16" s="1"/>
  <c r="M43" i="16"/>
  <c r="R43" i="16" s="1"/>
  <c r="L43" i="16"/>
  <c r="Q43" i="16" s="1"/>
  <c r="K43" i="16"/>
  <c r="P43" i="16" s="1"/>
  <c r="J43" i="16"/>
  <c r="M42" i="16"/>
  <c r="R42" i="16" s="1"/>
  <c r="L42" i="16"/>
  <c r="Q42" i="16" s="1"/>
  <c r="K42" i="16"/>
  <c r="J42" i="16"/>
  <c r="O42" i="16" s="1"/>
  <c r="M41" i="16"/>
  <c r="R41" i="16" s="1"/>
  <c r="L41" i="16"/>
  <c r="Q41" i="16" s="1"/>
  <c r="K41" i="16"/>
  <c r="P41" i="16" s="1"/>
  <c r="J41" i="16"/>
  <c r="O41" i="16" s="1"/>
  <c r="M40" i="16"/>
  <c r="R40" i="16" s="1"/>
  <c r="L40" i="16"/>
  <c r="Q40" i="16" s="1"/>
  <c r="K40" i="16"/>
  <c r="J40" i="16"/>
  <c r="O40" i="16" s="1"/>
  <c r="M39" i="16"/>
  <c r="R39" i="16" s="1"/>
  <c r="L39" i="16"/>
  <c r="Q39" i="16" s="1"/>
  <c r="K39" i="16"/>
  <c r="P39" i="16" s="1"/>
  <c r="J39" i="16"/>
  <c r="M38" i="16"/>
  <c r="R38" i="16" s="1"/>
  <c r="L38" i="16"/>
  <c r="Q38" i="16" s="1"/>
  <c r="K38" i="16"/>
  <c r="P38" i="16" s="1"/>
  <c r="J38" i="16"/>
  <c r="O38" i="16" s="1"/>
  <c r="M37" i="16"/>
  <c r="R37" i="16" s="1"/>
  <c r="L37" i="16"/>
  <c r="Q37" i="16" s="1"/>
  <c r="K37" i="16"/>
  <c r="P37" i="16" s="1"/>
  <c r="J37" i="16"/>
  <c r="M36" i="16"/>
  <c r="R36" i="16" s="1"/>
  <c r="L36" i="16"/>
  <c r="Q36" i="16" s="1"/>
  <c r="K36" i="16"/>
  <c r="P36" i="16" s="1"/>
  <c r="J36" i="16"/>
  <c r="M35" i="16"/>
  <c r="R35" i="16" s="1"/>
  <c r="L35" i="16"/>
  <c r="Q35" i="16" s="1"/>
  <c r="K35" i="16"/>
  <c r="P35" i="16" s="1"/>
  <c r="J35" i="16"/>
  <c r="M34" i="16"/>
  <c r="R34" i="16" s="1"/>
  <c r="L34" i="16"/>
  <c r="Q34" i="16" s="1"/>
  <c r="K34" i="16"/>
  <c r="P34" i="16" s="1"/>
  <c r="J34" i="16"/>
  <c r="M33" i="16"/>
  <c r="R33" i="16" s="1"/>
  <c r="L33" i="16"/>
  <c r="K33" i="16"/>
  <c r="P33" i="16" s="1"/>
  <c r="J33" i="16"/>
  <c r="O33" i="16" s="1"/>
  <c r="M32" i="16"/>
  <c r="R32" i="16" s="1"/>
  <c r="L32" i="16"/>
  <c r="Q32" i="16" s="1"/>
  <c r="K32" i="16"/>
  <c r="J32" i="16"/>
  <c r="O32" i="16" s="1"/>
  <c r="M31" i="16"/>
  <c r="R31" i="16" s="1"/>
  <c r="L31" i="16"/>
  <c r="Q31" i="16" s="1"/>
  <c r="K31" i="16"/>
  <c r="P31" i="16" s="1"/>
  <c r="J31" i="16"/>
  <c r="M30" i="16"/>
  <c r="R30" i="16" s="1"/>
  <c r="L30" i="16"/>
  <c r="Q30" i="16" s="1"/>
  <c r="K30" i="16"/>
  <c r="P30" i="16" s="1"/>
  <c r="J30" i="16"/>
  <c r="O30" i="16" s="1"/>
  <c r="M29" i="16"/>
  <c r="R29" i="16" s="1"/>
  <c r="L29" i="16"/>
  <c r="Q29" i="16" s="1"/>
  <c r="K29" i="16"/>
  <c r="P29" i="16" s="1"/>
  <c r="J29" i="16"/>
  <c r="M28" i="16"/>
  <c r="R28" i="16" s="1"/>
  <c r="L28" i="16"/>
  <c r="Q28" i="16" s="1"/>
  <c r="K28" i="16"/>
  <c r="P28" i="16" s="1"/>
  <c r="J28" i="16"/>
  <c r="O28" i="16" s="1"/>
  <c r="M27" i="16"/>
  <c r="R27" i="16" s="1"/>
  <c r="L27" i="16"/>
  <c r="Q27" i="16" s="1"/>
  <c r="K27" i="16"/>
  <c r="P27" i="16" s="1"/>
  <c r="J27" i="16"/>
  <c r="M26" i="16"/>
  <c r="R26" i="16" s="1"/>
  <c r="L26" i="16"/>
  <c r="Q26" i="16" s="1"/>
  <c r="K26" i="16"/>
  <c r="J26" i="16"/>
  <c r="O26" i="16" s="1"/>
  <c r="M25" i="16"/>
  <c r="R25" i="16" s="1"/>
  <c r="L25" i="16"/>
  <c r="Q25" i="16" s="1"/>
  <c r="K25" i="16"/>
  <c r="P25" i="16" s="1"/>
  <c r="J25" i="16"/>
  <c r="O25" i="16" s="1"/>
  <c r="M24" i="16"/>
  <c r="R24" i="16" s="1"/>
  <c r="L24" i="16"/>
  <c r="Q24" i="16" s="1"/>
  <c r="K24" i="16"/>
  <c r="J24" i="16"/>
  <c r="O24" i="16" s="1"/>
  <c r="M23" i="16"/>
  <c r="R23" i="16" s="1"/>
  <c r="L23" i="16"/>
  <c r="Q23" i="16" s="1"/>
  <c r="K23" i="16"/>
  <c r="P23" i="16" s="1"/>
  <c r="J23" i="16"/>
  <c r="O23" i="16" s="1"/>
  <c r="M22" i="16"/>
  <c r="R22" i="16" s="1"/>
  <c r="L22" i="16"/>
  <c r="Q22" i="16" s="1"/>
  <c r="K22" i="16"/>
  <c r="P22" i="16" s="1"/>
  <c r="J22" i="16"/>
  <c r="M21" i="16"/>
  <c r="R21" i="16" s="1"/>
  <c r="L21" i="16"/>
  <c r="Q21" i="16" s="1"/>
  <c r="K21" i="16"/>
  <c r="P21" i="16" s="1"/>
  <c r="J21" i="16"/>
  <c r="M20" i="16"/>
  <c r="R20" i="16" s="1"/>
  <c r="L20" i="16"/>
  <c r="Q20" i="16" s="1"/>
  <c r="K20" i="16"/>
  <c r="P20" i="16" s="1"/>
  <c r="J20" i="16"/>
  <c r="O20" i="16" s="1"/>
  <c r="M19" i="16"/>
  <c r="R19" i="16" s="1"/>
  <c r="L19" i="16"/>
  <c r="Q19" i="16" s="1"/>
  <c r="K19" i="16"/>
  <c r="P19" i="16" s="1"/>
  <c r="J19" i="16"/>
  <c r="M18" i="16"/>
  <c r="R18" i="16" s="1"/>
  <c r="L18" i="16"/>
  <c r="Q18" i="16" s="1"/>
  <c r="K18" i="16"/>
  <c r="P18" i="16" s="1"/>
  <c r="J18" i="16"/>
  <c r="M17" i="16"/>
  <c r="R17" i="16" s="1"/>
  <c r="L17" i="16"/>
  <c r="Q17" i="16" s="1"/>
  <c r="K17" i="16"/>
  <c r="P17" i="16" s="1"/>
  <c r="J17" i="16"/>
  <c r="M16" i="16"/>
  <c r="R16" i="16" s="1"/>
  <c r="L16" i="16"/>
  <c r="Q16" i="16" s="1"/>
  <c r="K16" i="16"/>
  <c r="J16" i="16"/>
  <c r="O16" i="16" s="1"/>
  <c r="M15" i="16"/>
  <c r="R15" i="16" s="1"/>
  <c r="L15" i="16"/>
  <c r="Q15" i="16" s="1"/>
  <c r="K15" i="16"/>
  <c r="P15" i="16" s="1"/>
  <c r="J15" i="16"/>
  <c r="M14" i="16"/>
  <c r="R14" i="16" s="1"/>
  <c r="L14" i="16"/>
  <c r="Q14" i="16" s="1"/>
  <c r="K14" i="16"/>
  <c r="P14" i="16" s="1"/>
  <c r="J14" i="16"/>
  <c r="O14" i="16" s="1"/>
  <c r="M13" i="16"/>
  <c r="R13" i="16" s="1"/>
  <c r="L13" i="16"/>
  <c r="Q13" i="16" s="1"/>
  <c r="K13" i="16"/>
  <c r="P13" i="16" s="1"/>
  <c r="J13" i="16"/>
  <c r="M12" i="16"/>
  <c r="R12" i="16" s="1"/>
  <c r="L12" i="16"/>
  <c r="Q12" i="16" s="1"/>
  <c r="K12" i="16"/>
  <c r="P12" i="16" s="1"/>
  <c r="J12" i="16"/>
  <c r="M11" i="16"/>
  <c r="R11" i="16" s="1"/>
  <c r="L11" i="16"/>
  <c r="Q11" i="16" s="1"/>
  <c r="K11" i="16"/>
  <c r="P11" i="16" s="1"/>
  <c r="J11" i="16"/>
  <c r="M10" i="16"/>
  <c r="R10" i="16" s="1"/>
  <c r="L10" i="16"/>
  <c r="Q10" i="16" s="1"/>
  <c r="K10" i="16"/>
  <c r="J10" i="16"/>
  <c r="O10" i="16" s="1"/>
  <c r="M9" i="16"/>
  <c r="R9" i="16" s="1"/>
  <c r="L9" i="16"/>
  <c r="Q9" i="16" s="1"/>
  <c r="K9" i="16"/>
  <c r="P9" i="16" s="1"/>
  <c r="J9" i="16"/>
  <c r="M8" i="16"/>
  <c r="R8" i="16" s="1"/>
  <c r="L8" i="16"/>
  <c r="Q8" i="16" s="1"/>
  <c r="K8" i="16"/>
  <c r="J8" i="16"/>
  <c r="O8" i="16" s="1"/>
  <c r="M7" i="16"/>
  <c r="R7" i="16" s="1"/>
  <c r="L7" i="16"/>
  <c r="Q7" i="16" s="1"/>
  <c r="K7" i="16"/>
  <c r="P7" i="16" s="1"/>
  <c r="J7" i="16"/>
  <c r="M6" i="16"/>
  <c r="R6" i="16" s="1"/>
  <c r="L6" i="16"/>
  <c r="Q6" i="16" s="1"/>
  <c r="K6" i="16"/>
  <c r="P6" i="16" s="1"/>
  <c r="J6" i="16"/>
  <c r="O6" i="16" s="1"/>
  <c r="M5" i="16"/>
  <c r="R5" i="16" s="1"/>
  <c r="L5" i="16"/>
  <c r="Q5" i="16" s="1"/>
  <c r="K5" i="16"/>
  <c r="P5" i="16" s="1"/>
  <c r="J5" i="16"/>
  <c r="M4" i="16"/>
  <c r="R4" i="16" s="1"/>
  <c r="L4" i="16"/>
  <c r="Q4" i="16" s="1"/>
  <c r="K4" i="16"/>
  <c r="P4" i="16" s="1"/>
  <c r="J4" i="16"/>
  <c r="M3" i="16"/>
  <c r="R3" i="16" s="1"/>
  <c r="L3" i="16"/>
  <c r="Q3" i="16" s="1"/>
  <c r="K3" i="16"/>
  <c r="P3" i="16" s="1"/>
  <c r="J3" i="16"/>
  <c r="M2" i="16"/>
  <c r="R2" i="16" s="1"/>
  <c r="L2" i="16"/>
  <c r="Q2" i="16" s="1"/>
  <c r="K2" i="16"/>
  <c r="P2" i="16" s="1"/>
  <c r="J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M658" i="15"/>
  <c r="R658" i="15" s="1"/>
  <c r="L658" i="15"/>
  <c r="Q658" i="15" s="1"/>
  <c r="K658" i="15"/>
  <c r="P658" i="15" s="1"/>
  <c r="J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M495" i="15"/>
  <c r="R495" i="15" s="1"/>
  <c r="L495" i="15"/>
  <c r="K495" i="15"/>
  <c r="P495" i="15" s="1"/>
  <c r="J495" i="15"/>
  <c r="O495" i="15" s="1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M441" i="15"/>
  <c r="R441" i="15" s="1"/>
  <c r="L441" i="15"/>
  <c r="Q441" i="15" s="1"/>
  <c r="K441" i="15"/>
  <c r="J441" i="15"/>
  <c r="O441" i="15" s="1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J351" i="15"/>
  <c r="O351" i="15" s="1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J333" i="15"/>
  <c r="O333" i="15" s="1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M324" i="15"/>
  <c r="R324" i="15" s="1"/>
  <c r="L324" i="15"/>
  <c r="Q324" i="15" s="1"/>
  <c r="K324" i="15"/>
  <c r="P324" i="15" s="1"/>
  <c r="J324" i="15"/>
  <c r="O324" i="15" s="1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M270" i="15"/>
  <c r="R270" i="15" s="1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J223" i="15"/>
  <c r="O223" i="15" s="1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M133" i="15"/>
  <c r="R133" i="15" s="1"/>
  <c r="L133" i="15"/>
  <c r="Q133" i="15" s="1"/>
  <c r="K133" i="15"/>
  <c r="P133" i="15" s="1"/>
  <c r="J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M117" i="15"/>
  <c r="R117" i="15" s="1"/>
  <c r="L117" i="15"/>
  <c r="Q117" i="15" s="1"/>
  <c r="K117" i="15"/>
  <c r="P117" i="15" s="1"/>
  <c r="J117" i="15"/>
  <c r="O117" i="15" s="1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M23" i="15"/>
  <c r="L23" i="15"/>
  <c r="Q23" i="15" s="1"/>
  <c r="K23" i="15"/>
  <c r="P23" i="15" s="1"/>
  <c r="J23" i="15"/>
  <c r="O23" i="15" s="1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M18" i="15"/>
  <c r="R18" i="15" s="1"/>
  <c r="L18" i="15"/>
  <c r="Q18" i="15" s="1"/>
  <c r="K18" i="15"/>
  <c r="P18" i="15" s="1"/>
  <c r="J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J3" i="15"/>
  <c r="O3" i="15" s="1"/>
  <c r="M2" i="15"/>
  <c r="R2" i="15" s="1"/>
  <c r="L2" i="15"/>
  <c r="Q2" i="15" s="1"/>
  <c r="K2" i="15"/>
  <c r="P2" i="15" s="1"/>
  <c r="J2" i="15"/>
  <c r="H321" i="24" l="1"/>
  <c r="H554" i="24"/>
  <c r="H5" i="24"/>
  <c r="H645" i="24"/>
  <c r="H66" i="24"/>
  <c r="H638" i="24"/>
  <c r="H2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201" i="24"/>
  <c r="H213" i="24"/>
  <c r="H232" i="24"/>
  <c r="H236" i="24"/>
  <c r="H253" i="24"/>
  <c r="H340" i="24"/>
  <c r="H380" i="24"/>
  <c r="H458" i="24"/>
  <c r="H548" i="24"/>
  <c r="H610" i="24"/>
  <c r="G632" i="24"/>
  <c r="H632" i="24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289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73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I513" i="17"/>
  <c r="N513" i="17" s="1"/>
  <c r="I407" i="16"/>
  <c r="N407" i="16" s="1"/>
  <c r="I122" i="16"/>
  <c r="N122" i="16" s="1"/>
  <c r="I156" i="15"/>
  <c r="N156" i="15" s="1"/>
  <c r="I533" i="17"/>
  <c r="N533" i="17" s="1"/>
  <c r="I504" i="17"/>
  <c r="N504" i="17" s="1"/>
  <c r="I302" i="17"/>
  <c r="N302" i="17" s="1"/>
  <c r="I180" i="17"/>
  <c r="N180" i="17" s="1"/>
  <c r="I568" i="16"/>
  <c r="N568" i="16" s="1"/>
  <c r="I342" i="16"/>
  <c r="N342" i="16" s="1"/>
  <c r="I258" i="16"/>
  <c r="N258" i="16" s="1"/>
  <c r="I230" i="16"/>
  <c r="N230" i="16" s="1"/>
  <c r="I200" i="16"/>
  <c r="N200" i="16" s="1"/>
  <c r="I194" i="16"/>
  <c r="N194" i="16" s="1"/>
  <c r="I192" i="16"/>
  <c r="N192" i="16" s="1"/>
  <c r="S192" i="16" s="1"/>
  <c r="I654" i="15"/>
  <c r="N654" i="15" s="1"/>
  <c r="I706" i="17"/>
  <c r="N706" i="17" s="1"/>
  <c r="S706" i="17" s="1"/>
  <c r="I702" i="17"/>
  <c r="N702" i="17" s="1"/>
  <c r="O702" i="17"/>
  <c r="I698" i="17"/>
  <c r="N698" i="17" s="1"/>
  <c r="S698" i="17" s="1"/>
  <c r="I694" i="17"/>
  <c r="N694" i="17" s="1"/>
  <c r="S694" i="17" s="1"/>
  <c r="I693" i="17"/>
  <c r="N693" i="17" s="1"/>
  <c r="I692" i="17"/>
  <c r="N692" i="17" s="1"/>
  <c r="O692" i="17"/>
  <c r="I686" i="17"/>
  <c r="N686" i="17" s="1"/>
  <c r="O686" i="17"/>
  <c r="I685" i="17"/>
  <c r="N685" i="17" s="1"/>
  <c r="S685" i="17" s="1"/>
  <c r="I684" i="17"/>
  <c r="N684" i="17" s="1"/>
  <c r="O684" i="17"/>
  <c r="I683" i="17"/>
  <c r="N683" i="17" s="1"/>
  <c r="I677" i="17"/>
  <c r="N677" i="17" s="1"/>
  <c r="S677" i="17" s="1"/>
  <c r="I678" i="17"/>
  <c r="N678" i="17" s="1"/>
  <c r="I676" i="17"/>
  <c r="N676" i="17" s="1"/>
  <c r="O676" i="17"/>
  <c r="I670" i="17"/>
  <c r="N670" i="17" s="1"/>
  <c r="I669" i="17"/>
  <c r="N669" i="17" s="1"/>
  <c r="S669" i="17" s="1"/>
  <c r="I668" i="17"/>
  <c r="N668" i="17" s="1"/>
  <c r="S668" i="17" s="1"/>
  <c r="I661" i="17"/>
  <c r="N661" i="17" s="1"/>
  <c r="S661" i="17" s="1"/>
  <c r="I651" i="17"/>
  <c r="N651" i="17" s="1"/>
  <c r="S651" i="17" s="1"/>
  <c r="I650" i="17"/>
  <c r="N650" i="17" s="1"/>
  <c r="S650" i="17" s="1"/>
  <c r="I646" i="17"/>
  <c r="N646" i="17" s="1"/>
  <c r="S646" i="17" s="1"/>
  <c r="I638" i="17"/>
  <c r="N638" i="17" s="1"/>
  <c r="S638" i="17" s="1"/>
  <c r="I635" i="17"/>
  <c r="N635" i="17" s="1"/>
  <c r="O635" i="17"/>
  <c r="I634" i="17"/>
  <c r="N634" i="17" s="1"/>
  <c r="O634" i="17"/>
  <c r="I630" i="17"/>
  <c r="N630" i="17" s="1"/>
  <c r="O630" i="17"/>
  <c r="I622" i="17"/>
  <c r="N622" i="17" s="1"/>
  <c r="S622" i="17" s="1"/>
  <c r="I621" i="17"/>
  <c r="N621" i="17" s="1"/>
  <c r="S621" i="17" s="1"/>
  <c r="I614" i="17"/>
  <c r="N614" i="17" s="1"/>
  <c r="I613" i="17"/>
  <c r="N613" i="17" s="1"/>
  <c r="I612" i="17"/>
  <c r="N612" i="17" s="1"/>
  <c r="O612" i="17"/>
  <c r="I605" i="17"/>
  <c r="N605" i="17" s="1"/>
  <c r="S605" i="17" s="1"/>
  <c r="I603" i="17"/>
  <c r="N603" i="17" s="1"/>
  <c r="S603" i="17" s="1"/>
  <c r="I602" i="17"/>
  <c r="N602" i="17" s="1"/>
  <c r="S602" i="17" s="1"/>
  <c r="I601" i="17"/>
  <c r="N601" i="17" s="1"/>
  <c r="S601" i="17" s="1"/>
  <c r="I595" i="17"/>
  <c r="N595" i="17" s="1"/>
  <c r="S595" i="17" s="1"/>
  <c r="I590" i="17"/>
  <c r="N590" i="17" s="1"/>
  <c r="I589" i="17"/>
  <c r="N589" i="17" s="1"/>
  <c r="I588" i="17"/>
  <c r="N588" i="17" s="1"/>
  <c r="S588" i="17" s="1"/>
  <c r="I584" i="17"/>
  <c r="N584" i="17" s="1"/>
  <c r="S584" i="17" s="1"/>
  <c r="I581" i="17"/>
  <c r="N581" i="17" s="1"/>
  <c r="S581" i="17" s="1"/>
  <c r="I580" i="17"/>
  <c r="N580" i="17" s="1"/>
  <c r="S580" i="17" s="1"/>
  <c r="I571" i="17"/>
  <c r="N571" i="17" s="1"/>
  <c r="I570" i="17"/>
  <c r="N570" i="17" s="1"/>
  <c r="S570" i="17" s="1"/>
  <c r="I567" i="17"/>
  <c r="N567" i="17" s="1"/>
  <c r="S567" i="17" s="1"/>
  <c r="I565" i="17"/>
  <c r="N565" i="17" s="1"/>
  <c r="I554" i="17"/>
  <c r="N554" i="17" s="1"/>
  <c r="S554" i="17" s="1"/>
  <c r="I556" i="17"/>
  <c r="N556" i="17" s="1"/>
  <c r="S556" i="17" s="1"/>
  <c r="I551" i="17"/>
  <c r="N551" i="17" s="1"/>
  <c r="O551" i="17"/>
  <c r="I548" i="17"/>
  <c r="N548" i="17" s="1"/>
  <c r="O548" i="17"/>
  <c r="I547" i="17"/>
  <c r="N547" i="17" s="1"/>
  <c r="S547" i="17" s="1"/>
  <c r="I546" i="17"/>
  <c r="N546" i="17" s="1"/>
  <c r="O546" i="17"/>
  <c r="I541" i="17"/>
  <c r="N541" i="17" s="1"/>
  <c r="S541" i="17" s="1"/>
  <c r="I540" i="17"/>
  <c r="N540" i="17" s="1"/>
  <c r="S540" i="17" s="1"/>
  <c r="I537" i="17"/>
  <c r="N537" i="17" s="1"/>
  <c r="P537" i="17"/>
  <c r="I535" i="17"/>
  <c r="N535" i="17" s="1"/>
  <c r="I536" i="17"/>
  <c r="N536" i="17" s="1"/>
  <c r="O535" i="17"/>
  <c r="O536" i="17"/>
  <c r="I534" i="17"/>
  <c r="N534" i="17" s="1"/>
  <c r="S534" i="17" s="1"/>
  <c r="I532" i="17"/>
  <c r="N532" i="17" s="1"/>
  <c r="O532" i="17"/>
  <c r="I528" i="17"/>
  <c r="N528" i="17" s="1"/>
  <c r="I529" i="17"/>
  <c r="N529" i="17" s="1"/>
  <c r="I524" i="17"/>
  <c r="N524" i="17" s="1"/>
  <c r="S524" i="17" s="1"/>
  <c r="I522" i="17"/>
  <c r="N522" i="17" s="1"/>
  <c r="S522" i="17" s="1"/>
  <c r="I521" i="17"/>
  <c r="N521" i="17" s="1"/>
  <c r="S521" i="17" s="1"/>
  <c r="I519" i="17"/>
  <c r="N519" i="17" s="1"/>
  <c r="O519" i="17"/>
  <c r="I516" i="17"/>
  <c r="N516" i="17" s="1"/>
  <c r="O516" i="17"/>
  <c r="I515" i="17"/>
  <c r="N515" i="17" s="1"/>
  <c r="S515" i="17" s="1"/>
  <c r="I514" i="17"/>
  <c r="N514" i="17" s="1"/>
  <c r="O514" i="17"/>
  <c r="O513" i="17"/>
  <c r="I509" i="17"/>
  <c r="N509" i="17" s="1"/>
  <c r="S509" i="17" s="1"/>
  <c r="I505" i="17"/>
  <c r="N505" i="17" s="1"/>
  <c r="O505" i="17"/>
  <c r="O504" i="17"/>
  <c r="I503" i="17"/>
  <c r="N503" i="17" s="1"/>
  <c r="O503" i="17"/>
  <c r="I502" i="17"/>
  <c r="N502" i="17" s="1"/>
  <c r="S502" i="17" s="1"/>
  <c r="I501" i="17"/>
  <c r="N501" i="17" s="1"/>
  <c r="I497" i="17"/>
  <c r="N497" i="17" s="1"/>
  <c r="P497" i="17"/>
  <c r="I496" i="17"/>
  <c r="N496" i="17" s="1"/>
  <c r="I495" i="17"/>
  <c r="N495" i="17" s="1"/>
  <c r="S495" i="17" s="1"/>
  <c r="I492" i="17"/>
  <c r="N492" i="17" s="1"/>
  <c r="I489" i="17"/>
  <c r="N489" i="17" s="1"/>
  <c r="O489" i="17"/>
  <c r="I488" i="17"/>
  <c r="N488" i="17" s="1"/>
  <c r="I486" i="17"/>
  <c r="N486" i="17" s="1"/>
  <c r="I485" i="17"/>
  <c r="N485" i="17" s="1"/>
  <c r="P486" i="17"/>
  <c r="O485" i="17"/>
  <c r="I481" i="17"/>
  <c r="N481" i="17" s="1"/>
  <c r="I479" i="17"/>
  <c r="N479" i="17" s="1"/>
  <c r="O479" i="17"/>
  <c r="I477" i="17"/>
  <c r="N477" i="17" s="1"/>
  <c r="O477" i="17"/>
  <c r="I474" i="17"/>
  <c r="N474" i="17" s="1"/>
  <c r="I473" i="17"/>
  <c r="N473" i="17" s="1"/>
  <c r="S473" i="17" s="1"/>
  <c r="O474" i="17"/>
  <c r="I471" i="17"/>
  <c r="N471" i="17" s="1"/>
  <c r="P471" i="17"/>
  <c r="I469" i="17"/>
  <c r="N469" i="17" s="1"/>
  <c r="I468" i="17"/>
  <c r="N468" i="17" s="1"/>
  <c r="O468" i="17"/>
  <c r="I466" i="17"/>
  <c r="N466" i="17" s="1"/>
  <c r="O466" i="17"/>
  <c r="I462" i="17"/>
  <c r="N462" i="17" s="1"/>
  <c r="I461" i="17"/>
  <c r="N461" i="17" s="1"/>
  <c r="O461" i="17"/>
  <c r="I459" i="17"/>
  <c r="N459" i="17" s="1"/>
  <c r="O459" i="17"/>
  <c r="I458" i="17"/>
  <c r="N458" i="17" s="1"/>
  <c r="S458" i="17" s="1"/>
  <c r="I455" i="17"/>
  <c r="N455" i="17" s="1"/>
  <c r="O455" i="17"/>
  <c r="I454" i="17"/>
  <c r="N454" i="17" s="1"/>
  <c r="I451" i="17"/>
  <c r="N451" i="17" s="1"/>
  <c r="S451" i="17" s="1"/>
  <c r="I452" i="17"/>
  <c r="N452" i="17" s="1"/>
  <c r="S452" i="17" s="1"/>
  <c r="I447" i="17"/>
  <c r="N447" i="17" s="1"/>
  <c r="I445" i="17"/>
  <c r="N445" i="17" s="1"/>
  <c r="O445" i="17"/>
  <c r="I444" i="17"/>
  <c r="N444" i="17" s="1"/>
  <c r="S444" i="17" s="1"/>
  <c r="I442" i="17"/>
  <c r="N442" i="17" s="1"/>
  <c r="S442" i="17" s="1"/>
  <c r="I440" i="17"/>
  <c r="N440" i="17" s="1"/>
  <c r="O440" i="17"/>
  <c r="I439" i="17"/>
  <c r="N439" i="17" s="1"/>
  <c r="I437" i="17"/>
  <c r="N437" i="17" s="1"/>
  <c r="I434" i="17"/>
  <c r="N434" i="17" s="1"/>
  <c r="O434" i="17"/>
  <c r="I435" i="17"/>
  <c r="N435" i="17" s="1"/>
  <c r="S435" i="17" s="1"/>
  <c r="I432" i="17"/>
  <c r="N432" i="17" s="1"/>
  <c r="O432" i="17"/>
  <c r="I431" i="17"/>
  <c r="N431" i="17" s="1"/>
  <c r="S431" i="17" s="1"/>
  <c r="I429" i="17"/>
  <c r="N429" i="17" s="1"/>
  <c r="I427" i="17"/>
  <c r="N427" i="17" s="1"/>
  <c r="I426" i="17"/>
  <c r="N426" i="17" s="1"/>
  <c r="S426" i="17" s="1"/>
  <c r="I424" i="17"/>
  <c r="N424" i="17" s="1"/>
  <c r="O424" i="17"/>
  <c r="I423" i="17"/>
  <c r="N423" i="17" s="1"/>
  <c r="S423" i="17" s="1"/>
  <c r="I421" i="17"/>
  <c r="N421" i="17" s="1"/>
  <c r="I419" i="17"/>
  <c r="N419" i="17" s="1"/>
  <c r="I418" i="17"/>
  <c r="N418" i="17" s="1"/>
  <c r="O418" i="17"/>
  <c r="I416" i="17"/>
  <c r="N416" i="17" s="1"/>
  <c r="O416" i="17"/>
  <c r="I415" i="17"/>
  <c r="N415" i="17" s="1"/>
  <c r="S415" i="17" s="1"/>
  <c r="I413" i="17"/>
  <c r="N413" i="17" s="1"/>
  <c r="I410" i="17"/>
  <c r="N410" i="17" s="1"/>
  <c r="S410" i="17" s="1"/>
  <c r="I411" i="17"/>
  <c r="N411" i="17" s="1"/>
  <c r="I406" i="17"/>
  <c r="N406" i="17" s="1"/>
  <c r="S406" i="17" s="1"/>
  <c r="I407" i="17"/>
  <c r="N407" i="17" s="1"/>
  <c r="S407" i="17" s="1"/>
  <c r="I710" i="17"/>
  <c r="N710" i="17" s="1"/>
  <c r="O710" i="17"/>
  <c r="I402" i="17"/>
  <c r="N402" i="17" s="1"/>
  <c r="S402" i="17" s="1"/>
  <c r="I397" i="17"/>
  <c r="N397" i="17" s="1"/>
  <c r="I392" i="17"/>
  <c r="N392" i="17" s="1"/>
  <c r="O392" i="17"/>
  <c r="I390" i="17"/>
  <c r="N390" i="17" s="1"/>
  <c r="Q390" i="17"/>
  <c r="I389" i="17"/>
  <c r="N389" i="17" s="1"/>
  <c r="I384" i="17"/>
  <c r="N384" i="17" s="1"/>
  <c r="O384" i="17"/>
  <c r="I378" i="17"/>
  <c r="N378" i="17" s="1"/>
  <c r="S378" i="17" s="1"/>
  <c r="I375" i="17"/>
  <c r="N375" i="17" s="1"/>
  <c r="S375" i="17" s="1"/>
  <c r="I374" i="17"/>
  <c r="N374" i="17" s="1"/>
  <c r="O374" i="17"/>
  <c r="I372" i="17"/>
  <c r="N372" i="17" s="1"/>
  <c r="O372" i="17"/>
  <c r="I370" i="17"/>
  <c r="N370" i="17" s="1"/>
  <c r="I367" i="17"/>
  <c r="N367" i="17" s="1"/>
  <c r="S367" i="17" s="1"/>
  <c r="I366" i="17"/>
  <c r="N366" i="17" s="1"/>
  <c r="S366" i="17" s="1"/>
  <c r="I364" i="17"/>
  <c r="N364" i="17" s="1"/>
  <c r="I362" i="17"/>
  <c r="N362" i="17" s="1"/>
  <c r="I359" i="17"/>
  <c r="N359" i="17" s="1"/>
  <c r="I358" i="17"/>
  <c r="N358" i="17" s="1"/>
  <c r="O358" i="17"/>
  <c r="I356" i="17"/>
  <c r="N356" i="17" s="1"/>
  <c r="O356" i="17"/>
  <c r="I351" i="17"/>
  <c r="N351" i="17" s="1"/>
  <c r="S351" i="17" s="1"/>
  <c r="I350" i="17"/>
  <c r="N350" i="17" s="1"/>
  <c r="O350" i="17"/>
  <c r="I348" i="17"/>
  <c r="N348" i="17" s="1"/>
  <c r="I345" i="17"/>
  <c r="N345" i="17" s="1"/>
  <c r="O345" i="17"/>
  <c r="I342" i="17"/>
  <c r="N342" i="17" s="1"/>
  <c r="S342" i="17" s="1"/>
  <c r="I340" i="17"/>
  <c r="N340" i="17" s="1"/>
  <c r="O340" i="17"/>
  <c r="I339" i="17"/>
  <c r="N339" i="17" s="1"/>
  <c r="S339" i="17" s="1"/>
  <c r="I337" i="17"/>
  <c r="N337" i="17" s="1"/>
  <c r="O337" i="17"/>
  <c r="I334" i="17"/>
  <c r="N334" i="17" s="1"/>
  <c r="S334" i="17" s="1"/>
  <c r="I332" i="17"/>
  <c r="N332" i="17" s="1"/>
  <c r="I329" i="17"/>
  <c r="N329" i="17" s="1"/>
  <c r="O329" i="17"/>
  <c r="I326" i="17"/>
  <c r="N326" i="17" s="1"/>
  <c r="O326" i="17"/>
  <c r="I324" i="17"/>
  <c r="N324" i="17" s="1"/>
  <c r="O324" i="17"/>
  <c r="I322" i="17"/>
  <c r="N322" i="17" s="1"/>
  <c r="I321" i="17"/>
  <c r="N321" i="17" s="1"/>
  <c r="S321" i="17" s="1"/>
  <c r="I318" i="17"/>
  <c r="N318" i="17" s="1"/>
  <c r="S318" i="17" s="1"/>
  <c r="I316" i="17"/>
  <c r="N316" i="17" s="1"/>
  <c r="O316" i="17"/>
  <c r="I313" i="17"/>
  <c r="N313" i="17" s="1"/>
  <c r="O313" i="17"/>
  <c r="I310" i="17"/>
  <c r="N310" i="17" s="1"/>
  <c r="I308" i="17"/>
  <c r="N308" i="17" s="1"/>
  <c r="O308" i="17"/>
  <c r="I307" i="17"/>
  <c r="N307" i="17" s="1"/>
  <c r="S307" i="17" s="1"/>
  <c r="I305" i="17"/>
  <c r="N305" i="17" s="1"/>
  <c r="O305" i="17"/>
  <c r="O302" i="17"/>
  <c r="I300" i="17"/>
  <c r="N300" i="17" s="1"/>
  <c r="O300" i="17"/>
  <c r="I297" i="17"/>
  <c r="N297" i="17" s="1"/>
  <c r="S297" i="17" s="1"/>
  <c r="O297" i="17"/>
  <c r="I294" i="17"/>
  <c r="N294" i="17" s="1"/>
  <c r="P294" i="17"/>
  <c r="I291" i="17"/>
  <c r="N291" i="17" s="1"/>
  <c r="Q291" i="17"/>
  <c r="I292" i="17"/>
  <c r="N292" i="17" s="1"/>
  <c r="O292" i="17"/>
  <c r="I289" i="17"/>
  <c r="N289" i="17" s="1"/>
  <c r="S289" i="17" s="1"/>
  <c r="O289" i="17"/>
  <c r="I286" i="17"/>
  <c r="N286" i="17" s="1"/>
  <c r="S286" i="17" s="1"/>
  <c r="I284" i="17"/>
  <c r="N284" i="17" s="1"/>
  <c r="O284" i="17"/>
  <c r="I281" i="17"/>
  <c r="N281" i="17" s="1"/>
  <c r="O281" i="17"/>
  <c r="I278" i="17"/>
  <c r="N278" i="17" s="1"/>
  <c r="I276" i="17"/>
  <c r="N276" i="17" s="1"/>
  <c r="S276" i="17" s="1"/>
  <c r="I275" i="17"/>
  <c r="N275" i="17" s="1"/>
  <c r="S275" i="17" s="1"/>
  <c r="I273" i="17"/>
  <c r="N273" i="17" s="1"/>
  <c r="I274" i="17"/>
  <c r="N274" i="17" s="1"/>
  <c r="O273" i="17"/>
  <c r="I270" i="17"/>
  <c r="N270" i="17" s="1"/>
  <c r="S270" i="17" s="1"/>
  <c r="I268" i="17"/>
  <c r="N268" i="17" s="1"/>
  <c r="S268" i="17" s="1"/>
  <c r="I265" i="17"/>
  <c r="N265" i="17" s="1"/>
  <c r="O265" i="17"/>
  <c r="I262" i="17"/>
  <c r="N262" i="17" s="1"/>
  <c r="S262" i="17" s="1"/>
  <c r="I260" i="17"/>
  <c r="N260" i="17" s="1"/>
  <c r="O260" i="17"/>
  <c r="I259" i="17"/>
  <c r="N259" i="17" s="1"/>
  <c r="S259" i="17" s="1"/>
  <c r="I257" i="17"/>
  <c r="N257" i="17" s="1"/>
  <c r="O257" i="17"/>
  <c r="I254" i="17"/>
  <c r="N254" i="17" s="1"/>
  <c r="I252" i="17"/>
  <c r="N252" i="17" s="1"/>
  <c r="I249" i="17"/>
  <c r="N249" i="17" s="1"/>
  <c r="O249" i="17"/>
  <c r="I246" i="17"/>
  <c r="N246" i="17" s="1"/>
  <c r="S246" i="17" s="1"/>
  <c r="I243" i="17"/>
  <c r="N243" i="17" s="1"/>
  <c r="Q243" i="17"/>
  <c r="I244" i="17"/>
  <c r="N244" i="17" s="1"/>
  <c r="S244" i="17" s="1"/>
  <c r="I242" i="17"/>
  <c r="N242" i="17" s="1"/>
  <c r="I241" i="17"/>
  <c r="N241" i="17" s="1"/>
  <c r="O241" i="17"/>
  <c r="I238" i="17"/>
  <c r="N238" i="17" s="1"/>
  <c r="O238" i="17"/>
  <c r="I236" i="17"/>
  <c r="N236" i="17" s="1"/>
  <c r="O236" i="17"/>
  <c r="I233" i="17"/>
  <c r="N233" i="17" s="1"/>
  <c r="O233" i="17"/>
  <c r="I230" i="17"/>
  <c r="N230" i="17" s="1"/>
  <c r="S230" i="17" s="1"/>
  <c r="I228" i="17"/>
  <c r="N228" i="17" s="1"/>
  <c r="O228" i="17"/>
  <c r="I227" i="17"/>
  <c r="N227" i="17" s="1"/>
  <c r="S227" i="17" s="1"/>
  <c r="I225" i="17"/>
  <c r="N225" i="17" s="1"/>
  <c r="O225" i="17"/>
  <c r="I222" i="17"/>
  <c r="N222" i="17" s="1"/>
  <c r="S222" i="17" s="1"/>
  <c r="I220" i="17"/>
  <c r="N220" i="17" s="1"/>
  <c r="O220" i="17"/>
  <c r="I217" i="17"/>
  <c r="N217" i="17" s="1"/>
  <c r="O217" i="17"/>
  <c r="I214" i="17"/>
  <c r="N214" i="17" s="1"/>
  <c r="S214" i="17" s="1"/>
  <c r="I211" i="17"/>
  <c r="N211" i="17" s="1"/>
  <c r="Q211" i="17"/>
  <c r="I212" i="17"/>
  <c r="N212" i="17" s="1"/>
  <c r="S212" i="17" s="1"/>
  <c r="I210" i="17"/>
  <c r="N210" i="17" s="1"/>
  <c r="I209" i="17"/>
  <c r="N209" i="17" s="1"/>
  <c r="O209" i="17"/>
  <c r="I206" i="17"/>
  <c r="N206" i="17" s="1"/>
  <c r="O206" i="17"/>
  <c r="I204" i="17"/>
  <c r="N204" i="17" s="1"/>
  <c r="O204" i="17"/>
  <c r="I201" i="17"/>
  <c r="N201" i="17" s="1"/>
  <c r="O201" i="17"/>
  <c r="I198" i="17"/>
  <c r="N198" i="17" s="1"/>
  <c r="O198" i="17"/>
  <c r="I196" i="17"/>
  <c r="N196" i="17" s="1"/>
  <c r="O196" i="17"/>
  <c r="I195" i="17"/>
  <c r="N195" i="17" s="1"/>
  <c r="S195" i="17" s="1"/>
  <c r="I193" i="17"/>
  <c r="N193" i="17" s="1"/>
  <c r="S193" i="17" s="1"/>
  <c r="O193" i="17"/>
  <c r="I190" i="17"/>
  <c r="N190" i="17" s="1"/>
  <c r="S190" i="17" s="1"/>
  <c r="I188" i="17"/>
  <c r="N188" i="17" s="1"/>
  <c r="O188" i="17"/>
  <c r="I709" i="17"/>
  <c r="N709" i="17" s="1"/>
  <c r="S709" i="17" s="1"/>
  <c r="I185" i="17"/>
  <c r="N185" i="17" s="1"/>
  <c r="S185" i="17" s="1"/>
  <c r="O185" i="17"/>
  <c r="I182" i="17"/>
  <c r="N182" i="17" s="1"/>
  <c r="P182" i="17"/>
  <c r="O180" i="17"/>
  <c r="I179" i="17"/>
  <c r="N179" i="17" s="1"/>
  <c r="S179" i="17" s="1"/>
  <c r="I178" i="17"/>
  <c r="N178" i="17" s="1"/>
  <c r="I177" i="17"/>
  <c r="N177" i="17" s="1"/>
  <c r="S177" i="17" s="1"/>
  <c r="I174" i="17"/>
  <c r="N174" i="17" s="1"/>
  <c r="S174" i="17" s="1"/>
  <c r="I172" i="17"/>
  <c r="N172" i="17" s="1"/>
  <c r="O172" i="17"/>
  <c r="I169" i="17"/>
  <c r="N169" i="17" s="1"/>
  <c r="O169" i="17"/>
  <c r="I166" i="17"/>
  <c r="N166" i="17" s="1"/>
  <c r="S166" i="17" s="1"/>
  <c r="I164" i="17"/>
  <c r="N164" i="17" s="1"/>
  <c r="O164" i="17"/>
  <c r="I163" i="17"/>
  <c r="N163" i="17" s="1"/>
  <c r="S163" i="17" s="1"/>
  <c r="I161" i="17"/>
  <c r="N161" i="17" s="1"/>
  <c r="O161" i="17"/>
  <c r="I158" i="17"/>
  <c r="N158" i="17" s="1"/>
  <c r="P158" i="17"/>
  <c r="I156" i="17"/>
  <c r="N156" i="17" s="1"/>
  <c r="O156" i="17"/>
  <c r="I154" i="17"/>
  <c r="N154" i="17" s="1"/>
  <c r="I153" i="17"/>
  <c r="N153" i="17" s="1"/>
  <c r="O153" i="17"/>
  <c r="I150" i="17"/>
  <c r="N150" i="17" s="1"/>
  <c r="I148" i="17"/>
  <c r="N148" i="17" s="1"/>
  <c r="I147" i="17"/>
  <c r="N147" i="17" s="1"/>
  <c r="S147" i="17" s="1"/>
  <c r="I143" i="17"/>
  <c r="N143" i="17" s="1"/>
  <c r="S143" i="17" s="1"/>
  <c r="I142" i="17"/>
  <c r="N142" i="17" s="1"/>
  <c r="I140" i="17"/>
  <c r="N140" i="17" s="1"/>
  <c r="O140" i="17"/>
  <c r="I139" i="17"/>
  <c r="N139" i="17" s="1"/>
  <c r="S139" i="17" s="1"/>
  <c r="I138" i="17"/>
  <c r="N138" i="17" s="1"/>
  <c r="I137" i="17"/>
  <c r="N137" i="17" s="1"/>
  <c r="S137" i="17" s="1"/>
  <c r="I131" i="17"/>
  <c r="N131" i="17" s="1"/>
  <c r="S131" i="17" s="1"/>
  <c r="I129" i="17"/>
  <c r="N129" i="17" s="1"/>
  <c r="I127" i="17"/>
  <c r="N127" i="17" s="1"/>
  <c r="S127" i="17" s="1"/>
  <c r="I126" i="17"/>
  <c r="N126" i="17" s="1"/>
  <c r="S126" i="17" s="1"/>
  <c r="I124" i="17"/>
  <c r="N124" i="17" s="1"/>
  <c r="O124" i="17"/>
  <c r="I119" i="17"/>
  <c r="N119" i="17" s="1"/>
  <c r="S119" i="17" s="1"/>
  <c r="I118" i="17"/>
  <c r="N118" i="17" s="1"/>
  <c r="P118" i="17"/>
  <c r="I117" i="17"/>
  <c r="N117" i="17" s="1"/>
  <c r="S117" i="17" s="1"/>
  <c r="I116" i="17"/>
  <c r="N116" i="17" s="1"/>
  <c r="I115" i="17"/>
  <c r="N115" i="17" s="1"/>
  <c r="S115" i="17" s="1"/>
  <c r="I114" i="17"/>
  <c r="N114" i="17" s="1"/>
  <c r="S114" i="17" s="1"/>
  <c r="I109" i="17"/>
  <c r="N109" i="17" s="1"/>
  <c r="S109" i="17" s="1"/>
  <c r="I107" i="17"/>
  <c r="N107" i="17" s="1"/>
  <c r="S107" i="17" s="1"/>
  <c r="I106" i="17"/>
  <c r="N106" i="17" s="1"/>
  <c r="S106" i="17" s="1"/>
  <c r="I102" i="17"/>
  <c r="N102" i="17" s="1"/>
  <c r="O102" i="17"/>
  <c r="I101" i="17"/>
  <c r="N101" i="17" s="1"/>
  <c r="S101" i="17" s="1"/>
  <c r="I99" i="17"/>
  <c r="N99" i="17" s="1"/>
  <c r="S99" i="17" s="1"/>
  <c r="I97" i="17"/>
  <c r="N97" i="17" s="1"/>
  <c r="I94" i="17"/>
  <c r="N94" i="17" s="1"/>
  <c r="O94" i="17"/>
  <c r="I93" i="17"/>
  <c r="N93" i="17" s="1"/>
  <c r="S93" i="17" s="1"/>
  <c r="I91" i="17"/>
  <c r="N91" i="17" s="1"/>
  <c r="S91" i="17" s="1"/>
  <c r="I90" i="17"/>
  <c r="N90" i="17" s="1"/>
  <c r="S90" i="17" s="1"/>
  <c r="I89" i="17"/>
  <c r="N89" i="17" s="1"/>
  <c r="I85" i="17"/>
  <c r="N85" i="17" s="1"/>
  <c r="S85" i="17" s="1"/>
  <c r="I83" i="17"/>
  <c r="N83" i="17" s="1"/>
  <c r="O83" i="17"/>
  <c r="I82" i="17"/>
  <c r="N82" i="17" s="1"/>
  <c r="S82" i="17" s="1"/>
  <c r="I77" i="17"/>
  <c r="N77" i="17" s="1"/>
  <c r="S77" i="17" s="1"/>
  <c r="I74" i="17"/>
  <c r="N74" i="17" s="1"/>
  <c r="Q74" i="17"/>
  <c r="I75" i="17"/>
  <c r="N75" i="17" s="1"/>
  <c r="O75" i="17"/>
  <c r="I70" i="17"/>
  <c r="N70" i="17" s="1"/>
  <c r="O70" i="17"/>
  <c r="I69" i="17"/>
  <c r="N69" i="17" s="1"/>
  <c r="P69" i="17"/>
  <c r="I67" i="17"/>
  <c r="N67" i="17" s="1"/>
  <c r="S67" i="17" s="1"/>
  <c r="I62" i="17"/>
  <c r="N62" i="17" s="1"/>
  <c r="O62" i="17"/>
  <c r="I61" i="17"/>
  <c r="N61" i="17" s="1"/>
  <c r="S61" i="17" s="1"/>
  <c r="I59" i="17"/>
  <c r="N59" i="17" s="1"/>
  <c r="O59" i="17"/>
  <c r="I58" i="17"/>
  <c r="N58" i="17" s="1"/>
  <c r="S58" i="17" s="1"/>
  <c r="I57" i="17"/>
  <c r="N57" i="17" s="1"/>
  <c r="I53" i="17"/>
  <c r="N53" i="17" s="1"/>
  <c r="I51" i="17"/>
  <c r="N51" i="17" s="1"/>
  <c r="P51" i="17"/>
  <c r="I50" i="17"/>
  <c r="N50" i="17" s="1"/>
  <c r="S50" i="17" s="1"/>
  <c r="I45" i="17"/>
  <c r="N45" i="17" s="1"/>
  <c r="P45" i="17"/>
  <c r="I43" i="17"/>
  <c r="N43" i="17" s="1"/>
  <c r="O43" i="17"/>
  <c r="I42" i="17"/>
  <c r="N42" i="17" s="1"/>
  <c r="S42" i="17" s="1"/>
  <c r="I37" i="17"/>
  <c r="N37" i="17" s="1"/>
  <c r="S37" i="17" s="1"/>
  <c r="I35" i="17"/>
  <c r="N35" i="17" s="1"/>
  <c r="O35" i="17"/>
  <c r="I30" i="17"/>
  <c r="N30" i="17" s="1"/>
  <c r="S30" i="17" s="1"/>
  <c r="O30" i="17"/>
  <c r="I29" i="17"/>
  <c r="N29" i="17" s="1"/>
  <c r="S29" i="17" s="1"/>
  <c r="I27" i="17"/>
  <c r="N27" i="17" s="1"/>
  <c r="O27" i="17"/>
  <c r="I26" i="17"/>
  <c r="N26" i="17" s="1"/>
  <c r="S26" i="17" s="1"/>
  <c r="I25" i="17"/>
  <c r="N25" i="17" s="1"/>
  <c r="I21" i="17"/>
  <c r="N21" i="17" s="1"/>
  <c r="S21" i="17" s="1"/>
  <c r="I19" i="17"/>
  <c r="N19" i="17" s="1"/>
  <c r="O19" i="17"/>
  <c r="I18" i="17"/>
  <c r="N18" i="17" s="1"/>
  <c r="S18" i="17" s="1"/>
  <c r="I13" i="17"/>
  <c r="N13" i="17" s="1"/>
  <c r="S13" i="17" s="1"/>
  <c r="I11" i="17"/>
  <c r="N11" i="17" s="1"/>
  <c r="O11" i="17"/>
  <c r="I10" i="17"/>
  <c r="N10" i="17" s="1"/>
  <c r="S10" i="17" s="1"/>
  <c r="I5" i="17"/>
  <c r="N5" i="17" s="1"/>
  <c r="S5" i="17" s="1"/>
  <c r="I3" i="17"/>
  <c r="N3" i="17" s="1"/>
  <c r="O3" i="17"/>
  <c r="I707" i="16"/>
  <c r="N707" i="16" s="1"/>
  <c r="I703" i="16"/>
  <c r="N703" i="16" s="1"/>
  <c r="I701" i="16"/>
  <c r="N701" i="16" s="1"/>
  <c r="I700" i="16"/>
  <c r="N700" i="16" s="1"/>
  <c r="O701" i="16"/>
  <c r="I695" i="16"/>
  <c r="N695" i="16" s="1"/>
  <c r="P695" i="16"/>
  <c r="I693" i="16"/>
  <c r="N693" i="16" s="1"/>
  <c r="O693" i="16"/>
  <c r="I692" i="16"/>
  <c r="N692" i="16" s="1"/>
  <c r="S692" i="16" s="1"/>
  <c r="I687" i="16"/>
  <c r="N687" i="16" s="1"/>
  <c r="I685" i="16"/>
  <c r="N685" i="16" s="1"/>
  <c r="O685" i="16"/>
  <c r="I680" i="16"/>
  <c r="N680" i="16" s="1"/>
  <c r="O680" i="16"/>
  <c r="I679" i="16"/>
  <c r="N679" i="16" s="1"/>
  <c r="S679" i="16" s="1"/>
  <c r="I677" i="16"/>
  <c r="N677" i="16" s="1"/>
  <c r="O677" i="16"/>
  <c r="I675" i="16"/>
  <c r="N675" i="16" s="1"/>
  <c r="I676" i="16"/>
  <c r="N676" i="16" s="1"/>
  <c r="S676" i="16" s="1"/>
  <c r="I671" i="16"/>
  <c r="N671" i="16" s="1"/>
  <c r="S671" i="16" s="1"/>
  <c r="I669" i="16"/>
  <c r="N669" i="16" s="1"/>
  <c r="O669" i="16"/>
  <c r="I664" i="16"/>
  <c r="N664" i="16" s="1"/>
  <c r="O664" i="16"/>
  <c r="I663" i="16"/>
  <c r="N663" i="16" s="1"/>
  <c r="O663" i="16"/>
  <c r="I662" i="16"/>
  <c r="N662" i="16" s="1"/>
  <c r="I660" i="16"/>
  <c r="N660" i="16" s="1"/>
  <c r="Q660" i="16"/>
  <c r="I661" i="16"/>
  <c r="N661" i="16" s="1"/>
  <c r="O661" i="16"/>
  <c r="I656" i="16"/>
  <c r="N656" i="16" s="1"/>
  <c r="O656" i="16"/>
  <c r="I655" i="16"/>
  <c r="N655" i="16" s="1"/>
  <c r="O655" i="16"/>
  <c r="I654" i="16"/>
  <c r="N654" i="16" s="1"/>
  <c r="I653" i="16"/>
  <c r="N653" i="16" s="1"/>
  <c r="O653" i="16"/>
  <c r="I652" i="16"/>
  <c r="N652" i="16" s="1"/>
  <c r="S652" i="16" s="1"/>
  <c r="I647" i="16"/>
  <c r="N647" i="16" s="1"/>
  <c r="I645" i="16"/>
  <c r="N645" i="16" s="1"/>
  <c r="O645" i="16"/>
  <c r="I643" i="16"/>
  <c r="N643" i="16" s="1"/>
  <c r="I639" i="16"/>
  <c r="N639" i="16" s="1"/>
  <c r="S639" i="16" s="1"/>
  <c r="I637" i="16"/>
  <c r="N637" i="16" s="1"/>
  <c r="O637" i="16"/>
  <c r="I632" i="16"/>
  <c r="N632" i="16" s="1"/>
  <c r="O632" i="16"/>
  <c r="I631" i="16"/>
  <c r="N631" i="16" s="1"/>
  <c r="O631" i="16"/>
  <c r="I630" i="16"/>
  <c r="N630" i="16" s="1"/>
  <c r="I628" i="16"/>
  <c r="N628" i="16" s="1"/>
  <c r="Q628" i="16"/>
  <c r="I629" i="16"/>
  <c r="N629" i="16" s="1"/>
  <c r="S629" i="16" s="1"/>
  <c r="I623" i="16"/>
  <c r="N623" i="16" s="1"/>
  <c r="I624" i="16"/>
  <c r="N624" i="16" s="1"/>
  <c r="O623" i="16"/>
  <c r="O624" i="16"/>
  <c r="I621" i="16"/>
  <c r="N621" i="16" s="1"/>
  <c r="O621" i="16"/>
  <c r="I620" i="16"/>
  <c r="N620" i="16" s="1"/>
  <c r="S620" i="16" s="1"/>
  <c r="I615" i="16"/>
  <c r="N615" i="16" s="1"/>
  <c r="S615" i="16" s="1"/>
  <c r="I613" i="16"/>
  <c r="N613" i="16" s="1"/>
  <c r="O613" i="16"/>
  <c r="I611" i="16"/>
  <c r="N611" i="16" s="1"/>
  <c r="I607" i="16"/>
  <c r="N607" i="16" s="1"/>
  <c r="I605" i="16"/>
  <c r="N605" i="16" s="1"/>
  <c r="O605" i="16"/>
  <c r="I600" i="16"/>
  <c r="N600" i="16" s="1"/>
  <c r="O600" i="16"/>
  <c r="I599" i="16"/>
  <c r="N599" i="16" s="1"/>
  <c r="O599" i="16"/>
  <c r="I598" i="16"/>
  <c r="N598" i="16" s="1"/>
  <c r="I597" i="16"/>
  <c r="N597" i="16" s="1"/>
  <c r="S597" i="16" s="1"/>
  <c r="I596" i="16"/>
  <c r="N596" i="16" s="1"/>
  <c r="S596" i="16" s="1"/>
  <c r="I592" i="16"/>
  <c r="N592" i="16" s="1"/>
  <c r="O592" i="16"/>
  <c r="I591" i="16"/>
  <c r="N591" i="16" s="1"/>
  <c r="O591" i="16"/>
  <c r="I589" i="16"/>
  <c r="N589" i="16" s="1"/>
  <c r="O589" i="16"/>
  <c r="I588" i="16"/>
  <c r="N588" i="16" s="1"/>
  <c r="I583" i="16"/>
  <c r="N583" i="16" s="1"/>
  <c r="S583" i="16" s="1"/>
  <c r="I581" i="16"/>
  <c r="N581" i="16" s="1"/>
  <c r="O581" i="16"/>
  <c r="I579" i="16"/>
  <c r="N579" i="16" s="1"/>
  <c r="I575" i="16"/>
  <c r="N575" i="16" s="1"/>
  <c r="S575" i="16" s="1"/>
  <c r="I573" i="16"/>
  <c r="N573" i="16" s="1"/>
  <c r="O573" i="16"/>
  <c r="O568" i="16"/>
  <c r="I567" i="16"/>
  <c r="N567" i="16" s="1"/>
  <c r="O567" i="16"/>
  <c r="I566" i="16"/>
  <c r="N566" i="16" s="1"/>
  <c r="I565" i="16"/>
  <c r="N565" i="16" s="1"/>
  <c r="O565" i="16"/>
  <c r="I564" i="16"/>
  <c r="N564" i="16" s="1"/>
  <c r="S564" i="16" s="1"/>
  <c r="I560" i="16"/>
  <c r="N560" i="16" s="1"/>
  <c r="O560" i="16"/>
  <c r="I559" i="16"/>
  <c r="N559" i="16" s="1"/>
  <c r="O559" i="16"/>
  <c r="I557" i="16"/>
  <c r="N557" i="16" s="1"/>
  <c r="O557" i="16"/>
  <c r="I555" i="16"/>
  <c r="N555" i="16" s="1"/>
  <c r="I551" i="16"/>
  <c r="N551" i="16" s="1"/>
  <c r="S551" i="16" s="1"/>
  <c r="I549" i="16"/>
  <c r="N549" i="16" s="1"/>
  <c r="O549" i="16"/>
  <c r="I544" i="16"/>
  <c r="N544" i="16" s="1"/>
  <c r="O544" i="16"/>
  <c r="I543" i="16"/>
  <c r="N543" i="16" s="1"/>
  <c r="O543" i="16"/>
  <c r="I542" i="16"/>
  <c r="N542" i="16" s="1"/>
  <c r="I541" i="16"/>
  <c r="N541" i="16" s="1"/>
  <c r="S541" i="16" s="1"/>
  <c r="I540" i="16"/>
  <c r="N540" i="16" s="1"/>
  <c r="I536" i="16"/>
  <c r="N536" i="16" s="1"/>
  <c r="I535" i="16"/>
  <c r="N535" i="16" s="1"/>
  <c r="S535" i="16" s="1"/>
  <c r="O536" i="16"/>
  <c r="I532" i="16"/>
  <c r="N532" i="16" s="1"/>
  <c r="S532" i="16" s="1"/>
  <c r="I533" i="16"/>
  <c r="N533" i="16" s="1"/>
  <c r="S533" i="16" s="1"/>
  <c r="I528" i="16"/>
  <c r="N528" i="16" s="1"/>
  <c r="O528" i="16"/>
  <c r="I527" i="16"/>
  <c r="N527" i="16" s="1"/>
  <c r="O527" i="16"/>
  <c r="I524" i="16"/>
  <c r="N524" i="16" s="1"/>
  <c r="S524" i="16" s="1"/>
  <c r="I520" i="16"/>
  <c r="N520" i="16" s="1"/>
  <c r="O520" i="16"/>
  <c r="I519" i="16"/>
  <c r="N519" i="16" s="1"/>
  <c r="O519" i="16"/>
  <c r="I511" i="16"/>
  <c r="N511" i="16" s="1"/>
  <c r="S511" i="16" s="1"/>
  <c r="I508" i="16"/>
  <c r="N508" i="16" s="1"/>
  <c r="S508" i="16" s="1"/>
  <c r="I509" i="16"/>
  <c r="N509" i="16" s="1"/>
  <c r="O509" i="16"/>
  <c r="I503" i="16"/>
  <c r="N503" i="16" s="1"/>
  <c r="O503" i="16"/>
  <c r="I501" i="16"/>
  <c r="N501" i="16" s="1"/>
  <c r="O501" i="16"/>
  <c r="I500" i="16"/>
  <c r="N500" i="16" s="1"/>
  <c r="S500" i="16" s="1"/>
  <c r="I495" i="16"/>
  <c r="N495" i="16" s="1"/>
  <c r="O495" i="16"/>
  <c r="I494" i="16"/>
  <c r="N494" i="16" s="1"/>
  <c r="S494" i="16" s="1"/>
  <c r="I492" i="16"/>
  <c r="N492" i="16" s="1"/>
  <c r="S492" i="16" s="1"/>
  <c r="I490" i="16"/>
  <c r="N490" i="16" s="1"/>
  <c r="O490" i="16"/>
  <c r="I487" i="16"/>
  <c r="N487" i="16" s="1"/>
  <c r="O487" i="16"/>
  <c r="I483" i="16"/>
  <c r="N483" i="16" s="1"/>
  <c r="S483" i="16" s="1"/>
  <c r="I481" i="16"/>
  <c r="N481" i="16" s="1"/>
  <c r="O481" i="16"/>
  <c r="I479" i="16"/>
  <c r="N479" i="16" s="1"/>
  <c r="I478" i="16"/>
  <c r="N478" i="16" s="1"/>
  <c r="O478" i="16"/>
  <c r="I475" i="16"/>
  <c r="N475" i="16" s="1"/>
  <c r="S475" i="16" s="1"/>
  <c r="I474" i="16"/>
  <c r="N474" i="16" s="1"/>
  <c r="I473" i="16"/>
  <c r="N473" i="16" s="1"/>
  <c r="O473" i="16"/>
  <c r="I471" i="16"/>
  <c r="N471" i="16" s="1"/>
  <c r="I470" i="16"/>
  <c r="N470" i="16" s="1"/>
  <c r="S470" i="16" s="1"/>
  <c r="I469" i="16"/>
  <c r="N469" i="16" s="1"/>
  <c r="I467" i="16"/>
  <c r="N467" i="16" s="1"/>
  <c r="S467" i="16" s="1"/>
  <c r="I466" i="16"/>
  <c r="N466" i="16" s="1"/>
  <c r="I465" i="16"/>
  <c r="N465" i="16" s="1"/>
  <c r="O465" i="16"/>
  <c r="I462" i="16"/>
  <c r="N462" i="16" s="1"/>
  <c r="S462" i="16" s="1"/>
  <c r="I459" i="16"/>
  <c r="N459" i="16" s="1"/>
  <c r="S459" i="16" s="1"/>
  <c r="I457" i="16"/>
  <c r="N457" i="16" s="1"/>
  <c r="O457" i="16"/>
  <c r="I454" i="16"/>
  <c r="N454" i="16" s="1"/>
  <c r="O454" i="16"/>
  <c r="I449" i="16"/>
  <c r="N449" i="16" s="1"/>
  <c r="S449" i="16" s="1"/>
  <c r="O449" i="16"/>
  <c r="I447" i="16"/>
  <c r="N447" i="16" s="1"/>
  <c r="I446" i="16"/>
  <c r="N446" i="16" s="1"/>
  <c r="O446" i="16"/>
  <c r="I443" i="16"/>
  <c r="N443" i="16" s="1"/>
  <c r="S443" i="16" s="1"/>
  <c r="I442" i="16"/>
  <c r="N442" i="16" s="1"/>
  <c r="I441" i="16"/>
  <c r="N441" i="16" s="1"/>
  <c r="O441" i="16"/>
  <c r="I439" i="16"/>
  <c r="N439" i="16" s="1"/>
  <c r="I438" i="16"/>
  <c r="N438" i="16" s="1"/>
  <c r="S438" i="16" s="1"/>
  <c r="I434" i="16"/>
  <c r="N434" i="16" s="1"/>
  <c r="I435" i="16"/>
  <c r="N435" i="16" s="1"/>
  <c r="I433" i="16"/>
  <c r="N433" i="16" s="1"/>
  <c r="O433" i="16"/>
  <c r="I430" i="16"/>
  <c r="N430" i="16" s="1"/>
  <c r="O430" i="16"/>
  <c r="I427" i="16"/>
  <c r="N427" i="16" s="1"/>
  <c r="S427" i="16" s="1"/>
  <c r="I425" i="16"/>
  <c r="N425" i="16" s="1"/>
  <c r="O425" i="16"/>
  <c r="I422" i="16"/>
  <c r="N422" i="16" s="1"/>
  <c r="O422" i="16"/>
  <c r="I419" i="16"/>
  <c r="N419" i="16" s="1"/>
  <c r="P419" i="16"/>
  <c r="I417" i="16"/>
  <c r="N417" i="16" s="1"/>
  <c r="O417" i="16"/>
  <c r="I415" i="16"/>
  <c r="N415" i="16" s="1"/>
  <c r="I414" i="16"/>
  <c r="N414" i="16" s="1"/>
  <c r="O414" i="16"/>
  <c r="I410" i="16"/>
  <c r="N410" i="16" s="1"/>
  <c r="I411" i="16"/>
  <c r="N411" i="16" s="1"/>
  <c r="S411" i="16" s="1"/>
  <c r="I409" i="16"/>
  <c r="N409" i="16" s="1"/>
  <c r="O409" i="16"/>
  <c r="I406" i="16"/>
  <c r="N406" i="16" s="1"/>
  <c r="S406" i="16" s="1"/>
  <c r="I405" i="16"/>
  <c r="N405" i="16" s="1"/>
  <c r="I403" i="16"/>
  <c r="N403" i="16" s="1"/>
  <c r="S403" i="16" s="1"/>
  <c r="I402" i="16"/>
  <c r="N402" i="16" s="1"/>
  <c r="I401" i="16"/>
  <c r="N401" i="16" s="1"/>
  <c r="S401" i="16" s="1"/>
  <c r="I398" i="16"/>
  <c r="N398" i="16" s="1"/>
  <c r="S398" i="16" s="1"/>
  <c r="I395" i="16"/>
  <c r="N395" i="16" s="1"/>
  <c r="S395" i="16" s="1"/>
  <c r="I393" i="16"/>
  <c r="N393" i="16" s="1"/>
  <c r="O393" i="16"/>
  <c r="I390" i="16"/>
  <c r="N390" i="16" s="1"/>
  <c r="O390" i="16"/>
  <c r="I387" i="16"/>
  <c r="N387" i="16" s="1"/>
  <c r="S387" i="16" s="1"/>
  <c r="I385" i="16"/>
  <c r="N385" i="16" s="1"/>
  <c r="O385" i="16"/>
  <c r="I383" i="16"/>
  <c r="N383" i="16" s="1"/>
  <c r="I382" i="16"/>
  <c r="N382" i="16" s="1"/>
  <c r="I379" i="16"/>
  <c r="N379" i="16" s="1"/>
  <c r="S379" i="16" s="1"/>
  <c r="I377" i="16"/>
  <c r="N377" i="16" s="1"/>
  <c r="O377" i="16"/>
  <c r="I374" i="16"/>
  <c r="N374" i="16" s="1"/>
  <c r="O374" i="16"/>
  <c r="I369" i="16"/>
  <c r="N369" i="16" s="1"/>
  <c r="O369" i="16"/>
  <c r="I367" i="16"/>
  <c r="N367" i="16" s="1"/>
  <c r="O367" i="16"/>
  <c r="I366" i="16"/>
  <c r="N366" i="16" s="1"/>
  <c r="I365" i="16"/>
  <c r="N365" i="16" s="1"/>
  <c r="I361" i="16"/>
  <c r="N361" i="16" s="1"/>
  <c r="O361" i="16"/>
  <c r="I358" i="16"/>
  <c r="N358" i="16" s="1"/>
  <c r="S358" i="16" s="1"/>
  <c r="I355" i="16"/>
  <c r="N355" i="16" s="1"/>
  <c r="S355" i="16" s="1"/>
  <c r="I354" i="16"/>
  <c r="N354" i="16" s="1"/>
  <c r="I353" i="16"/>
  <c r="N353" i="16" s="1"/>
  <c r="O353" i="16"/>
  <c r="I350" i="16"/>
  <c r="N350" i="16" s="1"/>
  <c r="S350" i="16" s="1"/>
  <c r="I347" i="16"/>
  <c r="N347" i="16" s="1"/>
  <c r="S347" i="16" s="1"/>
  <c r="I345" i="16"/>
  <c r="N345" i="16" s="1"/>
  <c r="O345" i="16"/>
  <c r="O342" i="16"/>
  <c r="I339" i="16"/>
  <c r="N339" i="16" s="1"/>
  <c r="S339" i="16" s="1"/>
  <c r="I334" i="16"/>
  <c r="N334" i="16" s="1"/>
  <c r="I335" i="16"/>
  <c r="N335" i="16" s="1"/>
  <c r="O334" i="16"/>
  <c r="O335" i="16"/>
  <c r="I333" i="16"/>
  <c r="N333" i="16" s="1"/>
  <c r="I329" i="16"/>
  <c r="N329" i="16" s="1"/>
  <c r="O329" i="16"/>
  <c r="I326" i="16"/>
  <c r="N326" i="16" s="1"/>
  <c r="O326" i="16"/>
  <c r="I323" i="16"/>
  <c r="N323" i="16" s="1"/>
  <c r="S323" i="16" s="1"/>
  <c r="I322" i="16"/>
  <c r="N322" i="16" s="1"/>
  <c r="I321" i="16"/>
  <c r="N321" i="16" s="1"/>
  <c r="O321" i="16"/>
  <c r="I318" i="16"/>
  <c r="N318" i="16" s="1"/>
  <c r="S318" i="16" s="1"/>
  <c r="I315" i="16"/>
  <c r="N315" i="16" s="1"/>
  <c r="S315" i="16" s="1"/>
  <c r="I310" i="16"/>
  <c r="N310" i="16" s="1"/>
  <c r="O310" i="16"/>
  <c r="I307" i="16"/>
  <c r="N307" i="16" s="1"/>
  <c r="S307" i="16" s="1"/>
  <c r="I305" i="16"/>
  <c r="N305" i="16" s="1"/>
  <c r="O305" i="16"/>
  <c r="I303" i="16"/>
  <c r="N303" i="16" s="1"/>
  <c r="O303" i="16"/>
  <c r="I302" i="16"/>
  <c r="N302" i="16" s="1"/>
  <c r="O302" i="16"/>
  <c r="I301" i="16"/>
  <c r="N301" i="16" s="1"/>
  <c r="I294" i="16"/>
  <c r="N294" i="16" s="1"/>
  <c r="O294" i="16"/>
  <c r="I290" i="16"/>
  <c r="N290" i="16" s="1"/>
  <c r="I286" i="16"/>
  <c r="N286" i="16" s="1"/>
  <c r="S286" i="16" s="1"/>
  <c r="I281" i="16"/>
  <c r="N281" i="16" s="1"/>
  <c r="I283" i="16"/>
  <c r="N283" i="16" s="1"/>
  <c r="S283" i="16" s="1"/>
  <c r="O281" i="16"/>
  <c r="I278" i="16"/>
  <c r="N278" i="16" s="1"/>
  <c r="S278" i="16" s="1"/>
  <c r="I271" i="16"/>
  <c r="N271" i="16" s="1"/>
  <c r="I270" i="16"/>
  <c r="N270" i="16" s="1"/>
  <c r="S270" i="16" s="1"/>
  <c r="O271" i="16"/>
  <c r="I269" i="16"/>
  <c r="N269" i="16" s="1"/>
  <c r="I262" i="16"/>
  <c r="N262" i="16" s="1"/>
  <c r="O262" i="16"/>
  <c r="I259" i="16"/>
  <c r="N259" i="16" s="1"/>
  <c r="S259" i="16" s="1"/>
  <c r="I254" i="16"/>
  <c r="N254" i="16" s="1"/>
  <c r="S254" i="16" s="1"/>
  <c r="I251" i="16"/>
  <c r="N251" i="16" s="1"/>
  <c r="S251" i="16" s="1"/>
  <c r="I246" i="16"/>
  <c r="N246" i="16" s="1"/>
  <c r="S246" i="16" s="1"/>
  <c r="I243" i="16"/>
  <c r="N243" i="16" s="1"/>
  <c r="S243" i="16" s="1"/>
  <c r="I239" i="16"/>
  <c r="N239" i="16" s="1"/>
  <c r="O239" i="16"/>
  <c r="I238" i="16"/>
  <c r="N238" i="16" s="1"/>
  <c r="S238" i="16" s="1"/>
  <c r="R230" i="16"/>
  <c r="I227" i="16"/>
  <c r="N227" i="16" s="1"/>
  <c r="I225" i="16"/>
  <c r="N225" i="16" s="1"/>
  <c r="O225" i="16"/>
  <c r="I222" i="16"/>
  <c r="N222" i="16" s="1"/>
  <c r="P222" i="16"/>
  <c r="I219" i="16"/>
  <c r="N219" i="16" s="1"/>
  <c r="S219" i="16" s="1"/>
  <c r="I214" i="16"/>
  <c r="N214" i="16" s="1"/>
  <c r="S214" i="16" s="1"/>
  <c r="I206" i="16"/>
  <c r="N206" i="16" s="1"/>
  <c r="S206" i="16" s="1"/>
  <c r="I203" i="16"/>
  <c r="N203" i="16" s="1"/>
  <c r="S203" i="16" s="1"/>
  <c r="I201" i="16"/>
  <c r="N201" i="16" s="1"/>
  <c r="I202" i="16"/>
  <c r="N202" i="16" s="1"/>
  <c r="O201" i="16"/>
  <c r="R200" i="16"/>
  <c r="I198" i="16"/>
  <c r="N198" i="16" s="1"/>
  <c r="O198" i="16"/>
  <c r="I190" i="16"/>
  <c r="N190" i="16" s="1"/>
  <c r="O190" i="16"/>
  <c r="I708" i="16"/>
  <c r="N708" i="16" s="1"/>
  <c r="Q708" i="16"/>
  <c r="I709" i="16"/>
  <c r="N709" i="16" s="1"/>
  <c r="O709" i="16"/>
  <c r="I186" i="16"/>
  <c r="N186" i="16" s="1"/>
  <c r="I184" i="16"/>
  <c r="N184" i="16" s="1"/>
  <c r="S184" i="16" s="1"/>
  <c r="I182" i="16"/>
  <c r="N182" i="16" s="1"/>
  <c r="S182" i="16" s="1"/>
  <c r="O182" i="16"/>
  <c r="I180" i="16"/>
  <c r="N180" i="16" s="1"/>
  <c r="I177" i="16"/>
  <c r="N177" i="16" s="1"/>
  <c r="S177" i="16" s="1"/>
  <c r="I174" i="16"/>
  <c r="N174" i="16" s="1"/>
  <c r="S174" i="16" s="1"/>
  <c r="I171" i="16"/>
  <c r="N171" i="16" s="1"/>
  <c r="S171" i="16" s="1"/>
  <c r="I169" i="16"/>
  <c r="N169" i="16" s="1"/>
  <c r="O169" i="16"/>
  <c r="I167" i="16"/>
  <c r="N167" i="16" s="1"/>
  <c r="O167" i="16"/>
  <c r="I166" i="16"/>
  <c r="N166" i="16" s="1"/>
  <c r="S166" i="16" s="1"/>
  <c r="I163" i="16"/>
  <c r="N163" i="16" s="1"/>
  <c r="S163" i="16" s="1"/>
  <c r="I161" i="16"/>
  <c r="N161" i="16" s="1"/>
  <c r="O161" i="16"/>
  <c r="I158" i="16"/>
  <c r="N158" i="16" s="1"/>
  <c r="Q158" i="16"/>
  <c r="I154" i="16"/>
  <c r="N154" i="16" s="1"/>
  <c r="I150" i="16"/>
  <c r="N150" i="16" s="1"/>
  <c r="O150" i="16"/>
  <c r="I147" i="16"/>
  <c r="N147" i="16" s="1"/>
  <c r="O147" i="16"/>
  <c r="I145" i="16"/>
  <c r="N145" i="16" s="1"/>
  <c r="S145" i="16" s="1"/>
  <c r="I143" i="16"/>
  <c r="N143" i="16" s="1"/>
  <c r="O143" i="16"/>
  <c r="I142" i="16"/>
  <c r="N142" i="16" s="1"/>
  <c r="S142" i="16" s="1"/>
  <c r="I140" i="16"/>
  <c r="N140" i="16" s="1"/>
  <c r="S140" i="16" s="1"/>
  <c r="I137" i="16"/>
  <c r="N137" i="16" s="1"/>
  <c r="O137" i="16"/>
  <c r="I135" i="16"/>
  <c r="N135" i="16" s="1"/>
  <c r="I134" i="16"/>
  <c r="N134" i="16" s="1"/>
  <c r="S134" i="16" s="1"/>
  <c r="O135" i="16"/>
  <c r="I133" i="16"/>
  <c r="N133" i="16" s="1"/>
  <c r="I132" i="16"/>
  <c r="N132" i="16" s="1"/>
  <c r="O132" i="16"/>
  <c r="I130" i="16"/>
  <c r="N130" i="16" s="1"/>
  <c r="I129" i="16"/>
  <c r="N129" i="16" s="1"/>
  <c r="S129" i="16" s="1"/>
  <c r="I127" i="16"/>
  <c r="N127" i="16" s="1"/>
  <c r="S127" i="16" s="1"/>
  <c r="I124" i="16"/>
  <c r="N124" i="16" s="1"/>
  <c r="O124" i="16"/>
  <c r="I121" i="16"/>
  <c r="N121" i="16" s="1"/>
  <c r="O121" i="16"/>
  <c r="I119" i="16"/>
  <c r="N119" i="16" s="1"/>
  <c r="O119" i="16"/>
  <c r="I118" i="16"/>
  <c r="N118" i="16" s="1"/>
  <c r="P118" i="16"/>
  <c r="I116" i="16"/>
  <c r="N116" i="16" s="1"/>
  <c r="O116" i="16"/>
  <c r="I114" i="16"/>
  <c r="N114" i="16" s="1"/>
  <c r="I113" i="16"/>
  <c r="N113" i="16" s="1"/>
  <c r="S113" i="16" s="1"/>
  <c r="I111" i="16"/>
  <c r="N111" i="16" s="1"/>
  <c r="O111" i="16"/>
  <c r="I110" i="16"/>
  <c r="N110" i="16" s="1"/>
  <c r="P110" i="16"/>
  <c r="I108" i="16"/>
  <c r="N108" i="16" s="1"/>
  <c r="S108" i="16" s="1"/>
  <c r="I105" i="16"/>
  <c r="N105" i="16" s="1"/>
  <c r="S105" i="16" s="1"/>
  <c r="I103" i="16"/>
  <c r="N103" i="16" s="1"/>
  <c r="O103" i="16"/>
  <c r="I102" i="16"/>
  <c r="N102" i="16" s="1"/>
  <c r="I101" i="16"/>
  <c r="N101" i="16" s="1"/>
  <c r="I100" i="16"/>
  <c r="N100" i="16" s="1"/>
  <c r="O100" i="16"/>
  <c r="I98" i="16"/>
  <c r="N98" i="16" s="1"/>
  <c r="I97" i="16"/>
  <c r="N97" i="16" s="1"/>
  <c r="O97" i="16"/>
  <c r="I95" i="16"/>
  <c r="N95" i="16" s="1"/>
  <c r="S95" i="16" s="1"/>
  <c r="I92" i="16"/>
  <c r="N92" i="16" s="1"/>
  <c r="O92" i="16"/>
  <c r="I90" i="16"/>
  <c r="N90" i="16" s="1"/>
  <c r="I89" i="16"/>
  <c r="N89" i="16" s="1"/>
  <c r="O89" i="16"/>
  <c r="I87" i="16"/>
  <c r="N87" i="16" s="1"/>
  <c r="S87" i="16" s="1"/>
  <c r="I86" i="16"/>
  <c r="N86" i="16" s="1"/>
  <c r="S86" i="16" s="1"/>
  <c r="I84" i="16"/>
  <c r="N84" i="16" s="1"/>
  <c r="O84" i="16"/>
  <c r="I82" i="16"/>
  <c r="N82" i="16" s="1"/>
  <c r="I81" i="16"/>
  <c r="N81" i="16" s="1"/>
  <c r="O81" i="16"/>
  <c r="I78" i="16"/>
  <c r="N78" i="16" s="1"/>
  <c r="Q78" i="16"/>
  <c r="I79" i="16"/>
  <c r="N79" i="16" s="1"/>
  <c r="O79" i="16"/>
  <c r="I76" i="16"/>
  <c r="N76" i="16" s="1"/>
  <c r="O76" i="16"/>
  <c r="I73" i="16"/>
  <c r="N73" i="16" s="1"/>
  <c r="O73" i="16"/>
  <c r="I70" i="16"/>
  <c r="N70" i="16" s="1"/>
  <c r="S70" i="16" s="1"/>
  <c r="I69" i="16"/>
  <c r="N69" i="16" s="1"/>
  <c r="I68" i="16"/>
  <c r="N68" i="16" s="1"/>
  <c r="O68" i="16"/>
  <c r="I66" i="16"/>
  <c r="N66" i="16" s="1"/>
  <c r="I65" i="16"/>
  <c r="N65" i="16" s="1"/>
  <c r="O65" i="16"/>
  <c r="I61" i="16"/>
  <c r="N61" i="16" s="1"/>
  <c r="I57" i="16"/>
  <c r="N57" i="16" s="1"/>
  <c r="O57" i="16"/>
  <c r="I55" i="16"/>
  <c r="N55" i="16" s="1"/>
  <c r="O55" i="16"/>
  <c r="I54" i="16"/>
  <c r="N54" i="16" s="1"/>
  <c r="S54" i="16" s="1"/>
  <c r="I49" i="16"/>
  <c r="N49" i="16" s="1"/>
  <c r="S49" i="16" s="1"/>
  <c r="I50" i="16"/>
  <c r="N50" i="16" s="1"/>
  <c r="I47" i="16"/>
  <c r="N47" i="16" s="1"/>
  <c r="O47" i="16"/>
  <c r="I45" i="16"/>
  <c r="N45" i="16" s="1"/>
  <c r="I44" i="16"/>
  <c r="N44" i="16" s="1"/>
  <c r="S44" i="16" s="1"/>
  <c r="I41" i="16"/>
  <c r="N41" i="16" s="1"/>
  <c r="S41" i="16" s="1"/>
  <c r="I42" i="16"/>
  <c r="N42" i="16" s="1"/>
  <c r="I39" i="16"/>
  <c r="N39" i="16" s="1"/>
  <c r="O39" i="16"/>
  <c r="I38" i="16"/>
  <c r="N38" i="16" s="1"/>
  <c r="S38" i="16" s="1"/>
  <c r="I36" i="16"/>
  <c r="N36" i="16" s="1"/>
  <c r="O36" i="16"/>
  <c r="I33" i="16"/>
  <c r="N33" i="16" s="1"/>
  <c r="Q33" i="16"/>
  <c r="I34" i="16"/>
  <c r="N34" i="16" s="1"/>
  <c r="I31" i="16"/>
  <c r="N31" i="16" s="1"/>
  <c r="O31" i="16"/>
  <c r="I30" i="16"/>
  <c r="N30" i="16" s="1"/>
  <c r="S30" i="16" s="1"/>
  <c r="I26" i="16"/>
  <c r="N26" i="16" s="1"/>
  <c r="I25" i="16"/>
  <c r="N25" i="16" s="1"/>
  <c r="S25" i="16" s="1"/>
  <c r="I21" i="16"/>
  <c r="N21" i="16" s="1"/>
  <c r="I18" i="16"/>
  <c r="N18" i="16" s="1"/>
  <c r="I17" i="16"/>
  <c r="N17" i="16" s="1"/>
  <c r="O17" i="16"/>
  <c r="I15" i="16"/>
  <c r="N15" i="16" s="1"/>
  <c r="O15" i="16"/>
  <c r="I14" i="16"/>
  <c r="N14" i="16" s="1"/>
  <c r="S14" i="16" s="1"/>
  <c r="I12" i="16"/>
  <c r="N12" i="16" s="1"/>
  <c r="O12" i="16"/>
  <c r="I10" i="16"/>
  <c r="N10" i="16" s="1"/>
  <c r="I9" i="16"/>
  <c r="N9" i="16" s="1"/>
  <c r="O9" i="16"/>
  <c r="I7" i="16"/>
  <c r="N7" i="16" s="1"/>
  <c r="O7" i="16"/>
  <c r="I6" i="16"/>
  <c r="N6" i="16" s="1"/>
  <c r="S6" i="16" s="1"/>
  <c r="I4" i="16"/>
  <c r="N4" i="16" s="1"/>
  <c r="O4" i="16"/>
  <c r="I2" i="16"/>
  <c r="N2" i="16" s="1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I2" i="15"/>
  <c r="N2" i="15" s="1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I23" i="15"/>
  <c r="N23" i="15" s="1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S22" i="15"/>
  <c r="S35" i="15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I58" i="16"/>
  <c r="N58" i="16" s="1"/>
  <c r="I72" i="16"/>
  <c r="N72" i="16" s="1"/>
  <c r="P72" i="16"/>
  <c r="O94" i="16"/>
  <c r="I94" i="16"/>
  <c r="N94" i="16" s="1"/>
  <c r="O355" i="15"/>
  <c r="I355" i="15"/>
  <c r="N355" i="15" s="1"/>
  <c r="O499" i="15"/>
  <c r="I499" i="15"/>
  <c r="N499" i="15" s="1"/>
  <c r="O595" i="15"/>
  <c r="I595" i="15"/>
  <c r="N595" i="15" s="1"/>
  <c r="O62" i="16"/>
  <c r="I62" i="16"/>
  <c r="N62" i="16" s="1"/>
  <c r="O2" i="15"/>
  <c r="O18" i="15"/>
  <c r="O26" i="15"/>
  <c r="O34" i="15"/>
  <c r="O42" i="15"/>
  <c r="O50" i="15"/>
  <c r="O58" i="15"/>
  <c r="O66" i="15"/>
  <c r="O74" i="15"/>
  <c r="O82" i="15"/>
  <c r="O122" i="15"/>
  <c r="O130" i="15"/>
  <c r="S130" i="15" s="1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I53" i="16"/>
  <c r="N53" i="16" s="1"/>
  <c r="I106" i="16"/>
  <c r="N106" i="16" s="1"/>
  <c r="I125" i="16"/>
  <c r="N125" i="16" s="1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S409" i="15" s="1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I136" i="16"/>
  <c r="N136" i="16" s="1"/>
  <c r="P136" i="16"/>
  <c r="O179" i="16"/>
  <c r="I179" i="16"/>
  <c r="N179" i="16" s="1"/>
  <c r="O46" i="16"/>
  <c r="I46" i="16"/>
  <c r="N46" i="16" s="1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S160" i="15" s="1"/>
  <c r="O168" i="15"/>
  <c r="O176" i="15"/>
  <c r="S176" i="15" s="1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S310" i="15" s="1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S433" i="15" s="1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I131" i="16"/>
  <c r="N131" i="16" s="1"/>
  <c r="O131" i="16"/>
  <c r="O152" i="16"/>
  <c r="I152" i="16"/>
  <c r="N152" i="16" s="1"/>
  <c r="O160" i="16"/>
  <c r="I160" i="16"/>
  <c r="N160" i="16" s="1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S377" i="15" s="1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I56" i="16"/>
  <c r="N56" i="16" s="1"/>
  <c r="P56" i="16"/>
  <c r="I64" i="16"/>
  <c r="N64" i="16" s="1"/>
  <c r="P64" i="16"/>
  <c r="I74" i="16"/>
  <c r="N74" i="16" s="1"/>
  <c r="I93" i="16"/>
  <c r="N93" i="16" s="1"/>
  <c r="I709" i="15"/>
  <c r="N709" i="15" s="1"/>
  <c r="P709" i="15"/>
  <c r="O22" i="16"/>
  <c r="I22" i="16"/>
  <c r="N22" i="16" s="1"/>
  <c r="I99" i="16"/>
  <c r="N99" i="16" s="1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I51" i="16"/>
  <c r="N51" i="16" s="1"/>
  <c r="O51" i="16"/>
  <c r="I104" i="16"/>
  <c r="N104" i="16" s="1"/>
  <c r="P104" i="16"/>
  <c r="O126" i="16"/>
  <c r="I126" i="16"/>
  <c r="N126" i="16" s="1"/>
  <c r="I341" i="17"/>
  <c r="N341" i="17" s="1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I11" i="16"/>
  <c r="N11" i="16" s="1"/>
  <c r="O11" i="16"/>
  <c r="I16" i="16"/>
  <c r="N16" i="16" s="1"/>
  <c r="P16" i="16"/>
  <c r="I35" i="16"/>
  <c r="N35" i="16" s="1"/>
  <c r="O35" i="16"/>
  <c r="I40" i="16"/>
  <c r="N40" i="16" s="1"/>
  <c r="P40" i="16"/>
  <c r="I83" i="16"/>
  <c r="N83" i="16" s="1"/>
  <c r="O83" i="16"/>
  <c r="I88" i="16"/>
  <c r="N88" i="16" s="1"/>
  <c r="P88" i="16"/>
  <c r="I115" i="16"/>
  <c r="N115" i="16" s="1"/>
  <c r="O115" i="16"/>
  <c r="I120" i="16"/>
  <c r="N120" i="16" s="1"/>
  <c r="P120" i="16"/>
  <c r="P168" i="16"/>
  <c r="I168" i="16"/>
  <c r="N168" i="16" s="1"/>
  <c r="S227" i="16"/>
  <c r="I275" i="16"/>
  <c r="N275" i="16" s="1"/>
  <c r="S275" i="16" s="1"/>
  <c r="I296" i="16"/>
  <c r="N296" i="16" s="1"/>
  <c r="O296" i="16"/>
  <c r="I371" i="16"/>
  <c r="N371" i="16" s="1"/>
  <c r="S371" i="16" s="1"/>
  <c r="I461" i="16"/>
  <c r="N461" i="16" s="1"/>
  <c r="I138" i="16"/>
  <c r="N138" i="16" s="1"/>
  <c r="I237" i="16"/>
  <c r="N237" i="16" s="1"/>
  <c r="O237" i="16"/>
  <c r="I392" i="16"/>
  <c r="N392" i="16" s="1"/>
  <c r="O392" i="16"/>
  <c r="I488" i="16"/>
  <c r="N488" i="16" s="1"/>
  <c r="P488" i="16"/>
  <c r="I103" i="17"/>
  <c r="N103" i="17" s="1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I19" i="16"/>
  <c r="N19" i="16" s="1"/>
  <c r="O19" i="16"/>
  <c r="I24" i="16"/>
  <c r="N24" i="16" s="1"/>
  <c r="P24" i="16"/>
  <c r="I43" i="16"/>
  <c r="N43" i="16" s="1"/>
  <c r="O43" i="16"/>
  <c r="I48" i="16"/>
  <c r="N48" i="16" s="1"/>
  <c r="P48" i="16"/>
  <c r="I91" i="16"/>
  <c r="N91" i="16" s="1"/>
  <c r="O91" i="16"/>
  <c r="I96" i="16"/>
  <c r="N96" i="16" s="1"/>
  <c r="P96" i="16"/>
  <c r="I123" i="16"/>
  <c r="N123" i="16" s="1"/>
  <c r="O123" i="16"/>
  <c r="I128" i="16"/>
  <c r="N128" i="16" s="1"/>
  <c r="P128" i="16"/>
  <c r="O211" i="16"/>
  <c r="I211" i="16"/>
  <c r="N211" i="16" s="1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I5" i="16"/>
  <c r="N5" i="16" s="1"/>
  <c r="I29" i="16"/>
  <c r="N29" i="16" s="1"/>
  <c r="I67" i="16"/>
  <c r="N67" i="16" s="1"/>
  <c r="O67" i="16"/>
  <c r="I77" i="16"/>
  <c r="N77" i="16" s="1"/>
  <c r="I109" i="16"/>
  <c r="N109" i="16" s="1"/>
  <c r="I141" i="16"/>
  <c r="N141" i="16" s="1"/>
  <c r="I328" i="16"/>
  <c r="N328" i="16" s="1"/>
  <c r="O328" i="16"/>
  <c r="I429" i="16"/>
  <c r="N429" i="16" s="1"/>
  <c r="I456" i="16"/>
  <c r="N456" i="16" s="1"/>
  <c r="O456" i="16"/>
  <c r="O34" i="17"/>
  <c r="I34" i="17"/>
  <c r="N34" i="17" s="1"/>
  <c r="I451" i="16"/>
  <c r="N451" i="16" s="1"/>
  <c r="S451" i="16" s="1"/>
  <c r="O529" i="16"/>
  <c r="I529" i="16"/>
  <c r="N529" i="16" s="1"/>
  <c r="I689" i="16"/>
  <c r="N689" i="16" s="1"/>
  <c r="O689" i="16"/>
  <c r="I581" i="15"/>
  <c r="N581" i="15" s="1"/>
  <c r="I613" i="15"/>
  <c r="N613" i="15" s="1"/>
  <c r="I645" i="15"/>
  <c r="N645" i="15" s="1"/>
  <c r="I669" i="15"/>
  <c r="N669" i="15" s="1"/>
  <c r="I13" i="16"/>
  <c r="N13" i="16" s="1"/>
  <c r="I37" i="16"/>
  <c r="N37" i="16" s="1"/>
  <c r="I85" i="16"/>
  <c r="N85" i="16" s="1"/>
  <c r="S102" i="16"/>
  <c r="I117" i="16"/>
  <c r="N117" i="16" s="1"/>
  <c r="I173" i="16"/>
  <c r="N173" i="16" s="1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I3" i="16"/>
  <c r="N3" i="16" s="1"/>
  <c r="O3" i="16"/>
  <c r="I8" i="16"/>
  <c r="N8" i="16" s="1"/>
  <c r="P8" i="16"/>
  <c r="I27" i="16"/>
  <c r="N27" i="16" s="1"/>
  <c r="O27" i="16"/>
  <c r="I32" i="16"/>
  <c r="N32" i="16" s="1"/>
  <c r="P32" i="16"/>
  <c r="I59" i="16"/>
  <c r="N59" i="16" s="1"/>
  <c r="O59" i="16"/>
  <c r="I75" i="16"/>
  <c r="N75" i="16" s="1"/>
  <c r="O75" i="16"/>
  <c r="I80" i="16"/>
  <c r="N80" i="16" s="1"/>
  <c r="P80" i="16"/>
  <c r="I107" i="16"/>
  <c r="N107" i="16" s="1"/>
  <c r="O107" i="16"/>
  <c r="I112" i="16"/>
  <c r="N112" i="16" s="1"/>
  <c r="P112" i="16"/>
  <c r="I139" i="16"/>
  <c r="N139" i="16" s="1"/>
  <c r="O139" i="16"/>
  <c r="I144" i="16"/>
  <c r="N144" i="16" s="1"/>
  <c r="P144" i="16"/>
  <c r="I229" i="16"/>
  <c r="N229" i="16" s="1"/>
  <c r="O229" i="16"/>
  <c r="I264" i="16"/>
  <c r="N264" i="16" s="1"/>
  <c r="O264" i="16"/>
  <c r="I360" i="16"/>
  <c r="N360" i="16" s="1"/>
  <c r="O360" i="16"/>
  <c r="I397" i="16"/>
  <c r="N397" i="16" s="1"/>
  <c r="I424" i="16"/>
  <c r="N424" i="16" s="1"/>
  <c r="O424" i="16"/>
  <c r="I510" i="16"/>
  <c r="N510" i="16" s="1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S631" i="15" s="1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S687" i="15" s="1"/>
  <c r="I697" i="15"/>
  <c r="N697" i="15" s="1"/>
  <c r="S697" i="15" s="1"/>
  <c r="I705" i="15"/>
  <c r="N705" i="15" s="1"/>
  <c r="S705" i="15" s="1"/>
  <c r="O2" i="16"/>
  <c r="O18" i="16"/>
  <c r="I20" i="16"/>
  <c r="N20" i="16" s="1"/>
  <c r="S20" i="16" s="1"/>
  <c r="I28" i="16"/>
  <c r="N28" i="16" s="1"/>
  <c r="S28" i="16" s="1"/>
  <c r="O34" i="16"/>
  <c r="O50" i="16"/>
  <c r="I52" i="16"/>
  <c r="N52" i="16" s="1"/>
  <c r="S52" i="16" s="1"/>
  <c r="O58" i="16"/>
  <c r="I60" i="16"/>
  <c r="N60" i="16" s="1"/>
  <c r="S60" i="16" s="1"/>
  <c r="O74" i="16"/>
  <c r="O98" i="16"/>
  <c r="O106" i="16"/>
  <c r="O122" i="16"/>
  <c r="S122" i="16" s="1"/>
  <c r="O130" i="16"/>
  <c r="S130" i="16" s="1"/>
  <c r="O138" i="16"/>
  <c r="I149" i="16"/>
  <c r="N149" i="16" s="1"/>
  <c r="S149" i="16" s="1"/>
  <c r="I165" i="16"/>
  <c r="N165" i="16" s="1"/>
  <c r="O165" i="16"/>
  <c r="I172" i="16"/>
  <c r="N172" i="16" s="1"/>
  <c r="S172" i="16" s="1"/>
  <c r="I178" i="16"/>
  <c r="N178" i="16" s="1"/>
  <c r="I191" i="16"/>
  <c r="N191" i="16" s="1"/>
  <c r="S191" i="16" s="1"/>
  <c r="I208" i="16"/>
  <c r="N208" i="16" s="1"/>
  <c r="S208" i="16" s="1"/>
  <c r="I210" i="16"/>
  <c r="N210" i="16" s="1"/>
  <c r="I235" i="16"/>
  <c r="N235" i="16" s="1"/>
  <c r="S235" i="16" s="1"/>
  <c r="I250" i="16"/>
  <c r="N250" i="16" s="1"/>
  <c r="I256" i="16"/>
  <c r="N256" i="16" s="1"/>
  <c r="O256" i="16"/>
  <c r="I267" i="16"/>
  <c r="N267" i="16" s="1"/>
  <c r="S267" i="16" s="1"/>
  <c r="I282" i="16"/>
  <c r="N282" i="16" s="1"/>
  <c r="I288" i="16"/>
  <c r="N288" i="16" s="1"/>
  <c r="O288" i="16"/>
  <c r="I299" i="16"/>
  <c r="N299" i="16" s="1"/>
  <c r="S299" i="16" s="1"/>
  <c r="I314" i="16"/>
  <c r="N314" i="16" s="1"/>
  <c r="I320" i="16"/>
  <c r="N320" i="16" s="1"/>
  <c r="O320" i="16"/>
  <c r="I327" i="16"/>
  <c r="N327" i="16" s="1"/>
  <c r="S327" i="16" s="1"/>
  <c r="I331" i="16"/>
  <c r="N331" i="16" s="1"/>
  <c r="S331" i="16" s="1"/>
  <c r="I346" i="16"/>
  <c r="N346" i="16" s="1"/>
  <c r="I352" i="16"/>
  <c r="N352" i="16" s="1"/>
  <c r="O352" i="16"/>
  <c r="I359" i="16"/>
  <c r="N359" i="16" s="1"/>
  <c r="S359" i="16" s="1"/>
  <c r="I363" i="16"/>
  <c r="N363" i="16" s="1"/>
  <c r="S363" i="16" s="1"/>
  <c r="I378" i="16"/>
  <c r="N378" i="16" s="1"/>
  <c r="S382" i="16"/>
  <c r="I437" i="16"/>
  <c r="N437" i="16" s="1"/>
  <c r="O572" i="16"/>
  <c r="I572" i="16"/>
  <c r="N572" i="16" s="1"/>
  <c r="S572" i="16" s="1"/>
  <c r="O604" i="16"/>
  <c r="I604" i="16"/>
  <c r="N604" i="16" s="1"/>
  <c r="O636" i="16"/>
  <c r="I636" i="16"/>
  <c r="N636" i="16" s="1"/>
  <c r="O668" i="16"/>
  <c r="I668" i="16"/>
  <c r="N668" i="16" s="1"/>
  <c r="O684" i="16"/>
  <c r="I684" i="16"/>
  <c r="N684" i="16" s="1"/>
  <c r="S684" i="16" s="1"/>
  <c r="I12" i="17"/>
  <c r="N12" i="17" s="1"/>
  <c r="P12" i="17"/>
  <c r="O66" i="17"/>
  <c r="I66" i="17"/>
  <c r="N66" i="17" s="1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S703" i="15" s="1"/>
  <c r="O706" i="15"/>
  <c r="O5" i="16"/>
  <c r="P10" i="16"/>
  <c r="O13" i="16"/>
  <c r="O21" i="16"/>
  <c r="I23" i="16"/>
  <c r="N23" i="16" s="1"/>
  <c r="S23" i="16" s="1"/>
  <c r="P26" i="16"/>
  <c r="O29" i="16"/>
  <c r="O37" i="16"/>
  <c r="P42" i="16"/>
  <c r="O45" i="16"/>
  <c r="O53" i="16"/>
  <c r="O61" i="16"/>
  <c r="I63" i="16"/>
  <c r="N63" i="16" s="1"/>
  <c r="S63" i="16" s="1"/>
  <c r="P66" i="16"/>
  <c r="S66" i="16" s="1"/>
  <c r="O69" i="16"/>
  <c r="I71" i="16"/>
  <c r="N71" i="16" s="1"/>
  <c r="S71" i="16" s="1"/>
  <c r="O77" i="16"/>
  <c r="P82" i="16"/>
  <c r="S82" i="16" s="1"/>
  <c r="O85" i="16"/>
  <c r="P90" i="16"/>
  <c r="O93" i="16"/>
  <c r="O101" i="16"/>
  <c r="O109" i="16"/>
  <c r="P114" i="16"/>
  <c r="O117" i="16"/>
  <c r="O125" i="16"/>
  <c r="O133" i="16"/>
  <c r="O141" i="16"/>
  <c r="I146" i="16"/>
  <c r="N146" i="16" s="1"/>
  <c r="S146" i="16" s="1"/>
  <c r="I159" i="16"/>
  <c r="N159" i="16" s="1"/>
  <c r="I176" i="16"/>
  <c r="N176" i="16" s="1"/>
  <c r="S176" i="16" s="1"/>
  <c r="I183" i="16"/>
  <c r="N183" i="16" s="1"/>
  <c r="I189" i="16"/>
  <c r="N189" i="16" s="1"/>
  <c r="O189" i="16"/>
  <c r="I216" i="16"/>
  <c r="N216" i="16" s="1"/>
  <c r="S216" i="16" s="1"/>
  <c r="I218" i="16"/>
  <c r="N218" i="16" s="1"/>
  <c r="I261" i="16"/>
  <c r="N261" i="16" s="1"/>
  <c r="I263" i="16"/>
  <c r="N263" i="16" s="1"/>
  <c r="I293" i="16"/>
  <c r="N293" i="16" s="1"/>
  <c r="I295" i="16"/>
  <c r="N295" i="16" s="1"/>
  <c r="I325" i="16"/>
  <c r="N325" i="16" s="1"/>
  <c r="I357" i="16"/>
  <c r="N357" i="16" s="1"/>
  <c r="S377" i="16"/>
  <c r="I400" i="16"/>
  <c r="N400" i="16" s="1"/>
  <c r="O400" i="16"/>
  <c r="I432" i="16"/>
  <c r="N432" i="16" s="1"/>
  <c r="O432" i="16"/>
  <c r="I464" i="16"/>
  <c r="N464" i="16" s="1"/>
  <c r="O464" i="16"/>
  <c r="O486" i="16"/>
  <c r="I486" i="16"/>
  <c r="N486" i="16" s="1"/>
  <c r="I518" i="16"/>
  <c r="N518" i="16" s="1"/>
  <c r="O518" i="16"/>
  <c r="O98" i="17"/>
  <c r="I98" i="17"/>
  <c r="N98" i="17" s="1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I148" i="16"/>
  <c r="N148" i="16" s="1"/>
  <c r="S148" i="16" s="1"/>
  <c r="I151" i="16"/>
  <c r="N151" i="16" s="1"/>
  <c r="P151" i="16"/>
  <c r="I157" i="16"/>
  <c r="N157" i="16" s="1"/>
  <c r="O157" i="16"/>
  <c r="I164" i="16"/>
  <c r="N164" i="16" s="1"/>
  <c r="S164" i="16" s="1"/>
  <c r="I197" i="16"/>
  <c r="N197" i="16" s="1"/>
  <c r="O197" i="16"/>
  <c r="I199" i="16"/>
  <c r="N199" i="16" s="1"/>
  <c r="I207" i="16"/>
  <c r="N207" i="16" s="1"/>
  <c r="S207" i="16" s="1"/>
  <c r="I224" i="16"/>
  <c r="N224" i="16" s="1"/>
  <c r="S224" i="16" s="1"/>
  <c r="I226" i="16"/>
  <c r="N226" i="16" s="1"/>
  <c r="I242" i="16"/>
  <c r="N242" i="16" s="1"/>
  <c r="I248" i="16"/>
  <c r="N248" i="16" s="1"/>
  <c r="O248" i="16"/>
  <c r="I255" i="16"/>
  <c r="N255" i="16" s="1"/>
  <c r="S255" i="16" s="1"/>
  <c r="I274" i="16"/>
  <c r="N274" i="16" s="1"/>
  <c r="I280" i="16"/>
  <c r="N280" i="16" s="1"/>
  <c r="O280" i="16"/>
  <c r="I287" i="16"/>
  <c r="N287" i="16" s="1"/>
  <c r="S287" i="16" s="1"/>
  <c r="I291" i="16"/>
  <c r="N291" i="16" s="1"/>
  <c r="S291" i="16" s="1"/>
  <c r="I306" i="16"/>
  <c r="N306" i="16" s="1"/>
  <c r="I312" i="16"/>
  <c r="N312" i="16" s="1"/>
  <c r="O312" i="16"/>
  <c r="I319" i="16"/>
  <c r="N319" i="16" s="1"/>
  <c r="S319" i="16" s="1"/>
  <c r="I338" i="16"/>
  <c r="N338" i="16" s="1"/>
  <c r="I344" i="16"/>
  <c r="N344" i="16" s="1"/>
  <c r="O344" i="16"/>
  <c r="I351" i="16"/>
  <c r="N351" i="16" s="1"/>
  <c r="S351" i="16" s="1"/>
  <c r="I370" i="16"/>
  <c r="N370" i="16" s="1"/>
  <c r="I376" i="16"/>
  <c r="N376" i="16" s="1"/>
  <c r="O376" i="16"/>
  <c r="I381" i="16"/>
  <c r="N381" i="16" s="1"/>
  <c r="I386" i="16"/>
  <c r="N386" i="16" s="1"/>
  <c r="S390" i="16"/>
  <c r="I391" i="16"/>
  <c r="N391" i="16" s="1"/>
  <c r="I413" i="16"/>
  <c r="N413" i="16" s="1"/>
  <c r="I418" i="16"/>
  <c r="N418" i="16" s="1"/>
  <c r="I423" i="16"/>
  <c r="N423" i="16" s="1"/>
  <c r="S435" i="16"/>
  <c r="I445" i="16"/>
  <c r="N445" i="16" s="1"/>
  <c r="I450" i="16"/>
  <c r="N450" i="16" s="1"/>
  <c r="I455" i="16"/>
  <c r="N455" i="16" s="1"/>
  <c r="I477" i="16"/>
  <c r="N477" i="16" s="1"/>
  <c r="I482" i="16"/>
  <c r="N482" i="16" s="1"/>
  <c r="S540" i="16"/>
  <c r="I7" i="17"/>
  <c r="N7" i="17" s="1"/>
  <c r="O7" i="17"/>
  <c r="I44" i="17"/>
  <c r="N44" i="17" s="1"/>
  <c r="P44" i="17"/>
  <c r="R239" i="17"/>
  <c r="I239" i="17"/>
  <c r="N239" i="17" s="1"/>
  <c r="I155" i="16"/>
  <c r="N155" i="16" s="1"/>
  <c r="S155" i="16" s="1"/>
  <c r="I170" i="16"/>
  <c r="N170" i="16" s="1"/>
  <c r="I181" i="16"/>
  <c r="N181" i="16" s="1"/>
  <c r="O181" i="16"/>
  <c r="I187" i="16"/>
  <c r="N187" i="16" s="1"/>
  <c r="S187" i="16" s="1"/>
  <c r="I195" i="16"/>
  <c r="N195" i="16" s="1"/>
  <c r="S195" i="16" s="1"/>
  <c r="I205" i="16"/>
  <c r="N205" i="16" s="1"/>
  <c r="O205" i="16"/>
  <c r="I215" i="16"/>
  <c r="N215" i="16" s="1"/>
  <c r="S215" i="16" s="1"/>
  <c r="I232" i="16"/>
  <c r="N232" i="16" s="1"/>
  <c r="S232" i="16" s="1"/>
  <c r="I234" i="16"/>
  <c r="N234" i="16" s="1"/>
  <c r="I253" i="16"/>
  <c r="N253" i="16" s="1"/>
  <c r="I285" i="16"/>
  <c r="N285" i="16" s="1"/>
  <c r="I317" i="16"/>
  <c r="N317" i="16" s="1"/>
  <c r="S342" i="16"/>
  <c r="I349" i="16"/>
  <c r="N349" i="16" s="1"/>
  <c r="I408" i="16"/>
  <c r="N408" i="16" s="1"/>
  <c r="O408" i="16"/>
  <c r="I440" i="16"/>
  <c r="N440" i="16" s="1"/>
  <c r="O440" i="16"/>
  <c r="I472" i="16"/>
  <c r="N472" i="16" s="1"/>
  <c r="O472" i="16"/>
  <c r="I76" i="17"/>
  <c r="N76" i="17" s="1"/>
  <c r="P76" i="17"/>
  <c r="O171" i="17"/>
  <c r="I171" i="17"/>
  <c r="N171" i="17" s="1"/>
  <c r="I188" i="16"/>
  <c r="N188" i="16" s="1"/>
  <c r="I213" i="16"/>
  <c r="N213" i="16" s="1"/>
  <c r="O213" i="16"/>
  <c r="I223" i="16"/>
  <c r="N223" i="16" s="1"/>
  <c r="S223" i="16" s="1"/>
  <c r="I240" i="16"/>
  <c r="N240" i="16" s="1"/>
  <c r="O240" i="16"/>
  <c r="I247" i="16"/>
  <c r="N247" i="16" s="1"/>
  <c r="S247" i="16" s="1"/>
  <c r="I266" i="16"/>
  <c r="N266" i="16" s="1"/>
  <c r="I272" i="16"/>
  <c r="N272" i="16" s="1"/>
  <c r="O272" i="16"/>
  <c r="I279" i="16"/>
  <c r="N279" i="16" s="1"/>
  <c r="S279" i="16" s="1"/>
  <c r="I298" i="16"/>
  <c r="N298" i="16" s="1"/>
  <c r="I304" i="16"/>
  <c r="N304" i="16" s="1"/>
  <c r="O304" i="16"/>
  <c r="I311" i="16"/>
  <c r="N311" i="16" s="1"/>
  <c r="S311" i="16" s="1"/>
  <c r="I330" i="16"/>
  <c r="N330" i="16" s="1"/>
  <c r="I336" i="16"/>
  <c r="N336" i="16" s="1"/>
  <c r="O336" i="16"/>
  <c r="I343" i="16"/>
  <c r="N343" i="16" s="1"/>
  <c r="S343" i="16" s="1"/>
  <c r="I362" i="16"/>
  <c r="N362" i="16" s="1"/>
  <c r="I368" i="16"/>
  <c r="N368" i="16" s="1"/>
  <c r="O368" i="16"/>
  <c r="I375" i="16"/>
  <c r="N375" i="16" s="1"/>
  <c r="S375" i="16" s="1"/>
  <c r="I389" i="16"/>
  <c r="N389" i="16" s="1"/>
  <c r="I394" i="16"/>
  <c r="N394" i="16" s="1"/>
  <c r="I399" i="16"/>
  <c r="N399" i="16" s="1"/>
  <c r="I421" i="16"/>
  <c r="N421" i="16" s="1"/>
  <c r="I426" i="16"/>
  <c r="N426" i="16" s="1"/>
  <c r="I431" i="16"/>
  <c r="N431" i="16" s="1"/>
  <c r="I453" i="16"/>
  <c r="N453" i="16" s="1"/>
  <c r="I458" i="16"/>
  <c r="N458" i="16" s="1"/>
  <c r="I463" i="16"/>
  <c r="N463" i="16" s="1"/>
  <c r="I485" i="16"/>
  <c r="N485" i="16" s="1"/>
  <c r="O502" i="16"/>
  <c r="I502" i="16"/>
  <c r="N502" i="16" s="1"/>
  <c r="I694" i="16"/>
  <c r="N694" i="16" s="1"/>
  <c r="P694" i="16"/>
  <c r="O2" i="17"/>
  <c r="I2" i="17"/>
  <c r="N2" i="17" s="1"/>
  <c r="I39" i="17"/>
  <c r="N39" i="17" s="1"/>
  <c r="O39" i="17"/>
  <c r="I108" i="17"/>
  <c r="N108" i="17" s="1"/>
  <c r="P108" i="17"/>
  <c r="I162" i="16"/>
  <c r="N162" i="16" s="1"/>
  <c r="I175" i="16"/>
  <c r="N175" i="16" s="1"/>
  <c r="I221" i="16"/>
  <c r="N221" i="16" s="1"/>
  <c r="O221" i="16"/>
  <c r="I231" i="16"/>
  <c r="N231" i="16" s="1"/>
  <c r="S231" i="16" s="1"/>
  <c r="I245" i="16"/>
  <c r="N245" i="16" s="1"/>
  <c r="I277" i="16"/>
  <c r="N277" i="16" s="1"/>
  <c r="I309" i="16"/>
  <c r="N309" i="16" s="1"/>
  <c r="I341" i="16"/>
  <c r="N341" i="16" s="1"/>
  <c r="S366" i="16"/>
  <c r="I373" i="16"/>
  <c r="N373" i="16" s="1"/>
  <c r="I384" i="16"/>
  <c r="N384" i="16" s="1"/>
  <c r="O384" i="16"/>
  <c r="I416" i="16"/>
  <c r="N416" i="16" s="1"/>
  <c r="O416" i="16"/>
  <c r="I448" i="16"/>
  <c r="N448" i="16" s="1"/>
  <c r="O448" i="16"/>
  <c r="I480" i="16"/>
  <c r="N480" i="16" s="1"/>
  <c r="O480" i="16"/>
  <c r="O548" i="16"/>
  <c r="I548" i="16"/>
  <c r="N548" i="16" s="1"/>
  <c r="I71" i="17"/>
  <c r="N71" i="17" s="1"/>
  <c r="O71" i="17"/>
  <c r="I144" i="17"/>
  <c r="N144" i="17" s="1"/>
  <c r="O144" i="17"/>
  <c r="R151" i="17"/>
  <c r="I151" i="17"/>
  <c r="N151" i="17" s="1"/>
  <c r="I585" i="16"/>
  <c r="N585" i="16" s="1"/>
  <c r="O585" i="16"/>
  <c r="I617" i="16"/>
  <c r="N617" i="16" s="1"/>
  <c r="O617" i="16"/>
  <c r="I649" i="16"/>
  <c r="N649" i="16" s="1"/>
  <c r="O649" i="16"/>
  <c r="I132" i="17"/>
  <c r="N132" i="17" s="1"/>
  <c r="O132" i="17"/>
  <c r="O203" i="17"/>
  <c r="I203" i="17"/>
  <c r="N203" i="17" s="1"/>
  <c r="R271" i="17"/>
  <c r="I271" i="17"/>
  <c r="N271" i="17" s="1"/>
  <c r="I379" i="17"/>
  <c r="N379" i="17" s="1"/>
  <c r="Q379" i="17"/>
  <c r="O383" i="17"/>
  <c r="I383" i="17"/>
  <c r="N383" i="17" s="1"/>
  <c r="I153" i="16"/>
  <c r="N153" i="16" s="1"/>
  <c r="S153" i="16" s="1"/>
  <c r="O159" i="16"/>
  <c r="P180" i="16"/>
  <c r="S180" i="16" s="1"/>
  <c r="O183" i="16"/>
  <c r="I185" i="16"/>
  <c r="N185" i="16" s="1"/>
  <c r="S185" i="16" s="1"/>
  <c r="P188" i="16"/>
  <c r="I193" i="16"/>
  <c r="N193" i="16" s="1"/>
  <c r="S193" i="16" s="1"/>
  <c r="I209" i="16"/>
  <c r="N209" i="16" s="1"/>
  <c r="S209" i="16" s="1"/>
  <c r="I217" i="16"/>
  <c r="N217" i="16" s="1"/>
  <c r="S217" i="16" s="1"/>
  <c r="I233" i="16"/>
  <c r="N233" i="16" s="1"/>
  <c r="S233" i="16" s="1"/>
  <c r="I241" i="16"/>
  <c r="N241" i="16" s="1"/>
  <c r="S241" i="16" s="1"/>
  <c r="I249" i="16"/>
  <c r="N249" i="16" s="1"/>
  <c r="S249" i="16" s="1"/>
  <c r="I257" i="16"/>
  <c r="N257" i="16" s="1"/>
  <c r="S257" i="16" s="1"/>
  <c r="I265" i="16"/>
  <c r="N265" i="16" s="1"/>
  <c r="S265" i="16" s="1"/>
  <c r="I273" i="16"/>
  <c r="N273" i="16" s="1"/>
  <c r="S273" i="16" s="1"/>
  <c r="I289" i="16"/>
  <c r="N289" i="16" s="1"/>
  <c r="S289" i="16" s="1"/>
  <c r="I297" i="16"/>
  <c r="N297" i="16" s="1"/>
  <c r="S297" i="16" s="1"/>
  <c r="I313" i="16"/>
  <c r="N313" i="16" s="1"/>
  <c r="S313" i="16" s="1"/>
  <c r="I337" i="16"/>
  <c r="N337" i="16" s="1"/>
  <c r="S337" i="16" s="1"/>
  <c r="O383" i="16"/>
  <c r="S383" i="16" s="1"/>
  <c r="O391" i="16"/>
  <c r="O399" i="16"/>
  <c r="O407" i="16"/>
  <c r="O415" i="16"/>
  <c r="O423" i="16"/>
  <c r="O431" i="16"/>
  <c r="O439" i="16"/>
  <c r="S439" i="16" s="1"/>
  <c r="O447" i="16"/>
  <c r="S447" i="16" s="1"/>
  <c r="O455" i="16"/>
  <c r="O463" i="16"/>
  <c r="O471" i="16"/>
  <c r="S471" i="16" s="1"/>
  <c r="O479" i="16"/>
  <c r="I497" i="16"/>
  <c r="N497" i="16" s="1"/>
  <c r="S497" i="16" s="1"/>
  <c r="I499" i="16"/>
  <c r="N499" i="16" s="1"/>
  <c r="O499" i="16"/>
  <c r="I516" i="16"/>
  <c r="N516" i="16" s="1"/>
  <c r="S516" i="16" s="1"/>
  <c r="I517" i="16"/>
  <c r="N517" i="16" s="1"/>
  <c r="S517" i="16" s="1"/>
  <c r="I526" i="16"/>
  <c r="N526" i="16" s="1"/>
  <c r="O526" i="16"/>
  <c r="I534" i="16"/>
  <c r="N534" i="16" s="1"/>
  <c r="I558" i="16"/>
  <c r="N558" i="16" s="1"/>
  <c r="I590" i="16"/>
  <c r="N590" i="16" s="1"/>
  <c r="I622" i="16"/>
  <c r="N622" i="16" s="1"/>
  <c r="S647" i="16"/>
  <c r="S687" i="16"/>
  <c r="I688" i="16"/>
  <c r="N688" i="16" s="1"/>
  <c r="S688" i="16" s="1"/>
  <c r="I697" i="16"/>
  <c r="N697" i="16" s="1"/>
  <c r="O697" i="16"/>
  <c r="I702" i="16"/>
  <c r="N702" i="16" s="1"/>
  <c r="P702" i="16"/>
  <c r="I6" i="17"/>
  <c r="N6" i="17" s="1"/>
  <c r="S6" i="17" s="1"/>
  <c r="I15" i="17"/>
  <c r="N15" i="17" s="1"/>
  <c r="O15" i="17"/>
  <c r="I20" i="17"/>
  <c r="N20" i="17" s="1"/>
  <c r="P20" i="17"/>
  <c r="I38" i="17"/>
  <c r="N38" i="17" s="1"/>
  <c r="S38" i="17" s="1"/>
  <c r="I47" i="17"/>
  <c r="N47" i="17" s="1"/>
  <c r="O47" i="17"/>
  <c r="I52" i="17"/>
  <c r="N52" i="17" s="1"/>
  <c r="P52" i="17"/>
  <c r="I79" i="17"/>
  <c r="N79" i="17" s="1"/>
  <c r="O79" i="17"/>
  <c r="I84" i="17"/>
  <c r="N84" i="17" s="1"/>
  <c r="P84" i="17"/>
  <c r="I111" i="17"/>
  <c r="N111" i="17" s="1"/>
  <c r="O111" i="17"/>
  <c r="O235" i="17"/>
  <c r="I235" i="17"/>
  <c r="N235" i="17" s="1"/>
  <c r="Q373" i="17"/>
  <c r="I373" i="17"/>
  <c r="N373" i="17" s="1"/>
  <c r="O154" i="16"/>
  <c r="I156" i="16"/>
  <c r="N156" i="16" s="1"/>
  <c r="S156" i="16" s="1"/>
  <c r="O162" i="16"/>
  <c r="O170" i="16"/>
  <c r="P175" i="16"/>
  <c r="O178" i="16"/>
  <c r="O186" i="16"/>
  <c r="O194" i="16"/>
  <c r="I196" i="16"/>
  <c r="N196" i="16" s="1"/>
  <c r="S196" i="16" s="1"/>
  <c r="P199" i="16"/>
  <c r="O202" i="16"/>
  <c r="I204" i="16"/>
  <c r="N204" i="16" s="1"/>
  <c r="S204" i="16" s="1"/>
  <c r="O210" i="16"/>
  <c r="I212" i="16"/>
  <c r="N212" i="16" s="1"/>
  <c r="S212" i="16" s="1"/>
  <c r="O218" i="16"/>
  <c r="I220" i="16"/>
  <c r="N220" i="16" s="1"/>
  <c r="S220" i="16" s="1"/>
  <c r="O226" i="16"/>
  <c r="I228" i="16"/>
  <c r="N228" i="16" s="1"/>
  <c r="S228" i="16" s="1"/>
  <c r="O234" i="16"/>
  <c r="I236" i="16"/>
  <c r="N236" i="16" s="1"/>
  <c r="S236" i="16" s="1"/>
  <c r="O242" i="16"/>
  <c r="I244" i="16"/>
  <c r="N244" i="16" s="1"/>
  <c r="S244" i="16" s="1"/>
  <c r="O250" i="16"/>
  <c r="I252" i="16"/>
  <c r="N252" i="16" s="1"/>
  <c r="S252" i="16" s="1"/>
  <c r="O258" i="16"/>
  <c r="S258" i="16" s="1"/>
  <c r="I260" i="16"/>
  <c r="N260" i="16" s="1"/>
  <c r="S260" i="16" s="1"/>
  <c r="P263" i="16"/>
  <c r="O266" i="16"/>
  <c r="I268" i="16"/>
  <c r="N268" i="16" s="1"/>
  <c r="S268" i="16" s="1"/>
  <c r="O274" i="16"/>
  <c r="I276" i="16"/>
  <c r="N276" i="16" s="1"/>
  <c r="S276" i="16" s="1"/>
  <c r="O282" i="16"/>
  <c r="I284" i="16"/>
  <c r="N284" i="16" s="1"/>
  <c r="S284" i="16" s="1"/>
  <c r="O290" i="16"/>
  <c r="S290" i="16" s="1"/>
  <c r="I292" i="16"/>
  <c r="N292" i="16" s="1"/>
  <c r="S292" i="16" s="1"/>
  <c r="P295" i="16"/>
  <c r="O298" i="16"/>
  <c r="I300" i="16"/>
  <c r="N300" i="16" s="1"/>
  <c r="S300" i="16" s="1"/>
  <c r="O306" i="16"/>
  <c r="I308" i="16"/>
  <c r="N308" i="16" s="1"/>
  <c r="S308" i="16" s="1"/>
  <c r="O314" i="16"/>
  <c r="I316" i="16"/>
  <c r="N316" i="16" s="1"/>
  <c r="S316" i="16" s="1"/>
  <c r="O322" i="16"/>
  <c r="S322" i="16" s="1"/>
  <c r="I324" i="16"/>
  <c r="N324" i="16" s="1"/>
  <c r="S324" i="16" s="1"/>
  <c r="O330" i="16"/>
  <c r="I332" i="16"/>
  <c r="N332" i="16" s="1"/>
  <c r="S332" i="16" s="1"/>
  <c r="O338" i="16"/>
  <c r="I340" i="16"/>
  <c r="N340" i="16" s="1"/>
  <c r="S340" i="16" s="1"/>
  <c r="O346" i="16"/>
  <c r="I348" i="16"/>
  <c r="N348" i="16" s="1"/>
  <c r="S348" i="16" s="1"/>
  <c r="O354" i="16"/>
  <c r="S354" i="16" s="1"/>
  <c r="I356" i="16"/>
  <c r="N356" i="16" s="1"/>
  <c r="S356" i="16" s="1"/>
  <c r="O362" i="16"/>
  <c r="I364" i="16"/>
  <c r="N364" i="16" s="1"/>
  <c r="S364" i="16" s="1"/>
  <c r="O370" i="16"/>
  <c r="I372" i="16"/>
  <c r="N372" i="16" s="1"/>
  <c r="S372" i="16" s="1"/>
  <c r="O378" i="16"/>
  <c r="I380" i="16"/>
  <c r="N380" i="16" s="1"/>
  <c r="S380" i="16" s="1"/>
  <c r="O386" i="16"/>
  <c r="I388" i="16"/>
  <c r="N388" i="16" s="1"/>
  <c r="S388" i="16" s="1"/>
  <c r="O394" i="16"/>
  <c r="I396" i="16"/>
  <c r="N396" i="16" s="1"/>
  <c r="S396" i="16" s="1"/>
  <c r="O402" i="16"/>
  <c r="I404" i="16"/>
  <c r="N404" i="16" s="1"/>
  <c r="S404" i="16" s="1"/>
  <c r="O410" i="16"/>
  <c r="I412" i="16"/>
  <c r="N412" i="16" s="1"/>
  <c r="S412" i="16" s="1"/>
  <c r="O418" i="16"/>
  <c r="I420" i="16"/>
  <c r="N420" i="16" s="1"/>
  <c r="S420" i="16" s="1"/>
  <c r="O426" i="16"/>
  <c r="I428" i="16"/>
  <c r="N428" i="16" s="1"/>
  <c r="S428" i="16" s="1"/>
  <c r="O434" i="16"/>
  <c r="I436" i="16"/>
  <c r="N436" i="16" s="1"/>
  <c r="S436" i="16" s="1"/>
  <c r="O442" i="16"/>
  <c r="I444" i="16"/>
  <c r="N444" i="16" s="1"/>
  <c r="S444" i="16" s="1"/>
  <c r="O450" i="16"/>
  <c r="I452" i="16"/>
  <c r="N452" i="16" s="1"/>
  <c r="S452" i="16" s="1"/>
  <c r="O458" i="16"/>
  <c r="I460" i="16"/>
  <c r="N460" i="16" s="1"/>
  <c r="S460" i="16" s="1"/>
  <c r="O466" i="16"/>
  <c r="S466" i="16" s="1"/>
  <c r="I468" i="16"/>
  <c r="N468" i="16" s="1"/>
  <c r="S468" i="16" s="1"/>
  <c r="O474" i="16"/>
  <c r="I476" i="16"/>
  <c r="N476" i="16" s="1"/>
  <c r="S476" i="16" s="1"/>
  <c r="O482" i="16"/>
  <c r="I484" i="16"/>
  <c r="N484" i="16" s="1"/>
  <c r="S484" i="16" s="1"/>
  <c r="I498" i="16"/>
  <c r="N498" i="16" s="1"/>
  <c r="S498" i="16" s="1"/>
  <c r="I525" i="16"/>
  <c r="N525" i="16" s="1"/>
  <c r="S525" i="16" s="1"/>
  <c r="I547" i="16"/>
  <c r="N547" i="16" s="1"/>
  <c r="I553" i="16"/>
  <c r="N553" i="16" s="1"/>
  <c r="O553" i="16"/>
  <c r="I571" i="16"/>
  <c r="N571" i="16" s="1"/>
  <c r="I577" i="16"/>
  <c r="N577" i="16" s="1"/>
  <c r="O577" i="16"/>
  <c r="I584" i="16"/>
  <c r="N584" i="16" s="1"/>
  <c r="S584" i="16" s="1"/>
  <c r="S588" i="16"/>
  <c r="I603" i="16"/>
  <c r="N603" i="16" s="1"/>
  <c r="I609" i="16"/>
  <c r="N609" i="16" s="1"/>
  <c r="O609" i="16"/>
  <c r="I616" i="16"/>
  <c r="N616" i="16" s="1"/>
  <c r="S616" i="16" s="1"/>
  <c r="I635" i="16"/>
  <c r="N635" i="16" s="1"/>
  <c r="I641" i="16"/>
  <c r="N641" i="16" s="1"/>
  <c r="O641" i="16"/>
  <c r="I648" i="16"/>
  <c r="N648" i="16" s="1"/>
  <c r="S648" i="16" s="1"/>
  <c r="I667" i="16"/>
  <c r="N667" i="16" s="1"/>
  <c r="I673" i="16"/>
  <c r="N673" i="16" s="1"/>
  <c r="O673" i="16"/>
  <c r="I683" i="16"/>
  <c r="N683" i="16" s="1"/>
  <c r="S700" i="16"/>
  <c r="I33" i="17"/>
  <c r="N33" i="17" s="1"/>
  <c r="I65" i="17"/>
  <c r="N65" i="17" s="1"/>
  <c r="R135" i="17"/>
  <c r="I135" i="17"/>
  <c r="N135" i="17" s="1"/>
  <c r="O267" i="17"/>
  <c r="I267" i="17"/>
  <c r="N267" i="17" s="1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I496" i="16"/>
  <c r="N496" i="16" s="1"/>
  <c r="I505" i="16"/>
  <c r="N505" i="16" s="1"/>
  <c r="S505" i="16" s="1"/>
  <c r="I507" i="16"/>
  <c r="N507" i="16" s="1"/>
  <c r="I556" i="16"/>
  <c r="N556" i="16" s="1"/>
  <c r="S556" i="16" s="1"/>
  <c r="I582" i="16"/>
  <c r="N582" i="16" s="1"/>
  <c r="S607" i="16"/>
  <c r="I614" i="16"/>
  <c r="N614" i="16" s="1"/>
  <c r="I646" i="16"/>
  <c r="N646" i="16" s="1"/>
  <c r="I678" i="16"/>
  <c r="N678" i="16" s="1"/>
  <c r="P678" i="16"/>
  <c r="I696" i="16"/>
  <c r="N696" i="16" s="1"/>
  <c r="S696" i="16" s="1"/>
  <c r="I705" i="16"/>
  <c r="N705" i="16" s="1"/>
  <c r="O705" i="16"/>
  <c r="I710" i="16"/>
  <c r="N710" i="16" s="1"/>
  <c r="P710" i="16"/>
  <c r="I14" i="17"/>
  <c r="N14" i="17" s="1"/>
  <c r="S14" i="17" s="1"/>
  <c r="I23" i="17"/>
  <c r="N23" i="17" s="1"/>
  <c r="O23" i="17"/>
  <c r="I28" i="17"/>
  <c r="N28" i="17" s="1"/>
  <c r="P28" i="17"/>
  <c r="I46" i="17"/>
  <c r="N46" i="17" s="1"/>
  <c r="S46" i="17" s="1"/>
  <c r="I55" i="17"/>
  <c r="N55" i="17" s="1"/>
  <c r="O55" i="17"/>
  <c r="I60" i="17"/>
  <c r="N60" i="17" s="1"/>
  <c r="P60" i="17"/>
  <c r="I78" i="17"/>
  <c r="N78" i="17" s="1"/>
  <c r="S78" i="17" s="1"/>
  <c r="I87" i="17"/>
  <c r="N87" i="17" s="1"/>
  <c r="O87" i="17"/>
  <c r="I92" i="17"/>
  <c r="N92" i="17" s="1"/>
  <c r="P92" i="17"/>
  <c r="I110" i="17"/>
  <c r="N110" i="17" s="1"/>
  <c r="S110" i="17" s="1"/>
  <c r="O299" i="17"/>
  <c r="I299" i="17"/>
  <c r="N299" i="17" s="1"/>
  <c r="Q357" i="17"/>
  <c r="I357" i="17"/>
  <c r="N357" i="17" s="1"/>
  <c r="I493" i="16"/>
  <c r="N493" i="16" s="1"/>
  <c r="S493" i="16" s="1"/>
  <c r="I513" i="16"/>
  <c r="N513" i="16" s="1"/>
  <c r="S513" i="16" s="1"/>
  <c r="I515" i="16"/>
  <c r="N515" i="16" s="1"/>
  <c r="I539" i="16"/>
  <c r="N539" i="16" s="1"/>
  <c r="I545" i="16"/>
  <c r="N545" i="16" s="1"/>
  <c r="O545" i="16"/>
  <c r="I552" i="16"/>
  <c r="N552" i="16" s="1"/>
  <c r="S552" i="16" s="1"/>
  <c r="I563" i="16"/>
  <c r="N563" i="16" s="1"/>
  <c r="I569" i="16"/>
  <c r="N569" i="16" s="1"/>
  <c r="O569" i="16"/>
  <c r="I576" i="16"/>
  <c r="N576" i="16" s="1"/>
  <c r="S576" i="16" s="1"/>
  <c r="I580" i="16"/>
  <c r="N580" i="16" s="1"/>
  <c r="S580" i="16" s="1"/>
  <c r="I595" i="16"/>
  <c r="N595" i="16" s="1"/>
  <c r="I601" i="16"/>
  <c r="N601" i="16" s="1"/>
  <c r="O601" i="16"/>
  <c r="I608" i="16"/>
  <c r="N608" i="16" s="1"/>
  <c r="S608" i="16" s="1"/>
  <c r="I612" i="16"/>
  <c r="N612" i="16" s="1"/>
  <c r="S612" i="16" s="1"/>
  <c r="I627" i="16"/>
  <c r="N627" i="16" s="1"/>
  <c r="I633" i="16"/>
  <c r="N633" i="16" s="1"/>
  <c r="O633" i="16"/>
  <c r="I640" i="16"/>
  <c r="N640" i="16" s="1"/>
  <c r="S640" i="16" s="1"/>
  <c r="I644" i="16"/>
  <c r="N644" i="16" s="1"/>
  <c r="S644" i="16" s="1"/>
  <c r="I659" i="16"/>
  <c r="N659" i="16" s="1"/>
  <c r="I665" i="16"/>
  <c r="N665" i="16" s="1"/>
  <c r="O665" i="16"/>
  <c r="I672" i="16"/>
  <c r="N672" i="16" s="1"/>
  <c r="S672" i="16" s="1"/>
  <c r="I691" i="16"/>
  <c r="N691" i="16" s="1"/>
  <c r="I9" i="17"/>
  <c r="N9" i="17" s="1"/>
  <c r="I41" i="17"/>
  <c r="N41" i="17" s="1"/>
  <c r="I73" i="17"/>
  <c r="N73" i="17" s="1"/>
  <c r="I105" i="17"/>
  <c r="N105" i="17" s="1"/>
  <c r="I121" i="17"/>
  <c r="N121" i="17" s="1"/>
  <c r="P121" i="17"/>
  <c r="I134" i="17"/>
  <c r="N134" i="17" s="1"/>
  <c r="Q134" i="17"/>
  <c r="I489" i="16"/>
  <c r="N489" i="16" s="1"/>
  <c r="S489" i="16" s="1"/>
  <c r="I491" i="16"/>
  <c r="N491" i="16" s="1"/>
  <c r="O491" i="16"/>
  <c r="I521" i="16"/>
  <c r="N521" i="16" s="1"/>
  <c r="S521" i="16" s="1"/>
  <c r="I523" i="16"/>
  <c r="N523" i="16" s="1"/>
  <c r="I550" i="16"/>
  <c r="N550" i="16" s="1"/>
  <c r="I574" i="16"/>
  <c r="N574" i="16" s="1"/>
  <c r="I606" i="16"/>
  <c r="N606" i="16" s="1"/>
  <c r="I638" i="16"/>
  <c r="N638" i="16" s="1"/>
  <c r="I670" i="16"/>
  <c r="N670" i="16" s="1"/>
  <c r="I681" i="16"/>
  <c r="N681" i="16" s="1"/>
  <c r="O681" i="16"/>
  <c r="I686" i="16"/>
  <c r="N686" i="16" s="1"/>
  <c r="P686" i="16"/>
  <c r="S703" i="16"/>
  <c r="I704" i="16"/>
  <c r="N704" i="16" s="1"/>
  <c r="S704" i="16" s="1"/>
  <c r="I4" i="17"/>
  <c r="N4" i="17" s="1"/>
  <c r="P4" i="17"/>
  <c r="I22" i="17"/>
  <c r="N22" i="17" s="1"/>
  <c r="S22" i="17" s="1"/>
  <c r="I31" i="17"/>
  <c r="N31" i="17" s="1"/>
  <c r="O31" i="17"/>
  <c r="I36" i="17"/>
  <c r="N36" i="17" s="1"/>
  <c r="P36" i="17"/>
  <c r="S53" i="17"/>
  <c r="I54" i="17"/>
  <c r="N54" i="17" s="1"/>
  <c r="S54" i="17" s="1"/>
  <c r="I63" i="17"/>
  <c r="N63" i="17" s="1"/>
  <c r="O63" i="17"/>
  <c r="I68" i="17"/>
  <c r="N68" i="17" s="1"/>
  <c r="P68" i="17"/>
  <c r="I86" i="17"/>
  <c r="N86" i="17" s="1"/>
  <c r="S86" i="17" s="1"/>
  <c r="I95" i="17"/>
  <c r="N95" i="17" s="1"/>
  <c r="O95" i="17"/>
  <c r="I100" i="17"/>
  <c r="N100" i="17" s="1"/>
  <c r="P100" i="17"/>
  <c r="R175" i="17"/>
  <c r="I175" i="17"/>
  <c r="N175" i="17" s="1"/>
  <c r="I328" i="17"/>
  <c r="N328" i="17" s="1"/>
  <c r="O328" i="17"/>
  <c r="I504" i="16"/>
  <c r="N504" i="16" s="1"/>
  <c r="I512" i="16"/>
  <c r="N512" i="16" s="1"/>
  <c r="S512" i="16" s="1"/>
  <c r="I531" i="16"/>
  <c r="N531" i="16" s="1"/>
  <c r="I537" i="16"/>
  <c r="N537" i="16" s="1"/>
  <c r="O537" i="16"/>
  <c r="I561" i="16"/>
  <c r="N561" i="16" s="1"/>
  <c r="O561" i="16"/>
  <c r="I587" i="16"/>
  <c r="N587" i="16" s="1"/>
  <c r="I593" i="16"/>
  <c r="N593" i="16" s="1"/>
  <c r="O593" i="16"/>
  <c r="I619" i="16"/>
  <c r="N619" i="16" s="1"/>
  <c r="I625" i="16"/>
  <c r="N625" i="16" s="1"/>
  <c r="O625" i="16"/>
  <c r="I651" i="16"/>
  <c r="N651" i="16" s="1"/>
  <c r="I657" i="16"/>
  <c r="N657" i="16" s="1"/>
  <c r="O657" i="16"/>
  <c r="I699" i="16"/>
  <c r="N699" i="16" s="1"/>
  <c r="I17" i="17"/>
  <c r="N17" i="17" s="1"/>
  <c r="I49" i="17"/>
  <c r="N49" i="17" s="1"/>
  <c r="I81" i="17"/>
  <c r="N81" i="17" s="1"/>
  <c r="I113" i="17"/>
  <c r="N113" i="17" s="1"/>
  <c r="I120" i="17"/>
  <c r="N120" i="17" s="1"/>
  <c r="O120" i="17"/>
  <c r="I133" i="17"/>
  <c r="N133" i="17" s="1"/>
  <c r="P133" i="17"/>
  <c r="S172" i="17"/>
  <c r="R207" i="17"/>
  <c r="I207" i="17"/>
  <c r="N207" i="17" s="1"/>
  <c r="I309" i="17"/>
  <c r="N309" i="17" s="1"/>
  <c r="P309" i="17"/>
  <c r="O496" i="16"/>
  <c r="O504" i="16"/>
  <c r="I506" i="16"/>
  <c r="N506" i="16" s="1"/>
  <c r="S506" i="16" s="1"/>
  <c r="I514" i="16"/>
  <c r="N514" i="16" s="1"/>
  <c r="S514" i="16" s="1"/>
  <c r="I522" i="16"/>
  <c r="N522" i="16" s="1"/>
  <c r="S522" i="16" s="1"/>
  <c r="I530" i="16"/>
  <c r="N530" i="16" s="1"/>
  <c r="S530" i="16" s="1"/>
  <c r="I538" i="16"/>
  <c r="N538" i="16" s="1"/>
  <c r="S538" i="16" s="1"/>
  <c r="I546" i="16"/>
  <c r="N546" i="16" s="1"/>
  <c r="S546" i="16" s="1"/>
  <c r="I554" i="16"/>
  <c r="N554" i="16" s="1"/>
  <c r="S554" i="16" s="1"/>
  <c r="I562" i="16"/>
  <c r="N562" i="16" s="1"/>
  <c r="S562" i="16" s="1"/>
  <c r="I570" i="16"/>
  <c r="N570" i="16" s="1"/>
  <c r="S570" i="16" s="1"/>
  <c r="I578" i="16"/>
  <c r="N578" i="16" s="1"/>
  <c r="S578" i="16" s="1"/>
  <c r="I586" i="16"/>
  <c r="N586" i="16" s="1"/>
  <c r="S586" i="16" s="1"/>
  <c r="I594" i="16"/>
  <c r="N594" i="16" s="1"/>
  <c r="S594" i="16" s="1"/>
  <c r="I602" i="16"/>
  <c r="N602" i="16" s="1"/>
  <c r="S602" i="16" s="1"/>
  <c r="I610" i="16"/>
  <c r="N610" i="16" s="1"/>
  <c r="S610" i="16" s="1"/>
  <c r="I618" i="16"/>
  <c r="N618" i="16" s="1"/>
  <c r="S618" i="16" s="1"/>
  <c r="I626" i="16"/>
  <c r="N626" i="16" s="1"/>
  <c r="S626" i="16" s="1"/>
  <c r="I634" i="16"/>
  <c r="N634" i="16" s="1"/>
  <c r="S634" i="16" s="1"/>
  <c r="I642" i="16"/>
  <c r="N642" i="16" s="1"/>
  <c r="S642" i="16" s="1"/>
  <c r="I650" i="16"/>
  <c r="N650" i="16" s="1"/>
  <c r="S650" i="16" s="1"/>
  <c r="I658" i="16"/>
  <c r="N658" i="16" s="1"/>
  <c r="S658" i="16" s="1"/>
  <c r="I666" i="16"/>
  <c r="N666" i="16" s="1"/>
  <c r="S666" i="16" s="1"/>
  <c r="I674" i="16"/>
  <c r="N674" i="16" s="1"/>
  <c r="S674" i="16" s="1"/>
  <c r="I682" i="16"/>
  <c r="N682" i="16" s="1"/>
  <c r="S682" i="16" s="1"/>
  <c r="I690" i="16"/>
  <c r="N690" i="16" s="1"/>
  <c r="S690" i="16" s="1"/>
  <c r="I698" i="16"/>
  <c r="N698" i="16" s="1"/>
  <c r="S698" i="16" s="1"/>
  <c r="I706" i="16"/>
  <c r="N706" i="16" s="1"/>
  <c r="S706" i="16" s="1"/>
  <c r="I8" i="17"/>
  <c r="N8" i="17" s="1"/>
  <c r="S8" i="17" s="1"/>
  <c r="I16" i="17"/>
  <c r="N16" i="17" s="1"/>
  <c r="S16" i="17" s="1"/>
  <c r="I24" i="17"/>
  <c r="N24" i="17" s="1"/>
  <c r="S24" i="17" s="1"/>
  <c r="I32" i="17"/>
  <c r="N32" i="17" s="1"/>
  <c r="S32" i="17" s="1"/>
  <c r="I40" i="17"/>
  <c r="N40" i="17" s="1"/>
  <c r="S40" i="17" s="1"/>
  <c r="I48" i="17"/>
  <c r="N48" i="17" s="1"/>
  <c r="S48" i="17" s="1"/>
  <c r="I56" i="17"/>
  <c r="N56" i="17" s="1"/>
  <c r="S56" i="17" s="1"/>
  <c r="I64" i="17"/>
  <c r="N64" i="17" s="1"/>
  <c r="S64" i="17" s="1"/>
  <c r="I72" i="17"/>
  <c r="N72" i="17" s="1"/>
  <c r="S72" i="17" s="1"/>
  <c r="I80" i="17"/>
  <c r="N80" i="17" s="1"/>
  <c r="S80" i="17" s="1"/>
  <c r="I88" i="17"/>
  <c r="N88" i="17" s="1"/>
  <c r="S88" i="17" s="1"/>
  <c r="I96" i="17"/>
  <c r="N96" i="17" s="1"/>
  <c r="S96" i="17" s="1"/>
  <c r="I104" i="17"/>
  <c r="N104" i="17" s="1"/>
  <c r="S104" i="17" s="1"/>
  <c r="I112" i="17"/>
  <c r="N112" i="17" s="1"/>
  <c r="S112" i="17" s="1"/>
  <c r="P129" i="17"/>
  <c r="S142" i="17"/>
  <c r="I149" i="17"/>
  <c r="N149" i="17" s="1"/>
  <c r="P149" i="17"/>
  <c r="I165" i="17"/>
  <c r="N165" i="17" s="1"/>
  <c r="P165" i="17"/>
  <c r="I184" i="17"/>
  <c r="N184" i="17" s="1"/>
  <c r="O184" i="17"/>
  <c r="I197" i="17"/>
  <c r="N197" i="17" s="1"/>
  <c r="P197" i="17"/>
  <c r="I216" i="17"/>
  <c r="N216" i="17" s="1"/>
  <c r="O216" i="17"/>
  <c r="I229" i="17"/>
  <c r="N229" i="17" s="1"/>
  <c r="P229" i="17"/>
  <c r="I248" i="17"/>
  <c r="N248" i="17" s="1"/>
  <c r="O248" i="17"/>
  <c r="S254" i="17"/>
  <c r="I261" i="17"/>
  <c r="N261" i="17" s="1"/>
  <c r="P261" i="17"/>
  <c r="I280" i="17"/>
  <c r="N280" i="17" s="1"/>
  <c r="O280" i="17"/>
  <c r="I293" i="17"/>
  <c r="N293" i="17" s="1"/>
  <c r="P293" i="17"/>
  <c r="R303" i="17"/>
  <c r="I303" i="17"/>
  <c r="N303" i="17" s="1"/>
  <c r="R311" i="17"/>
  <c r="I311" i="17"/>
  <c r="N311" i="17" s="1"/>
  <c r="I314" i="17"/>
  <c r="N314" i="17" s="1"/>
  <c r="R343" i="17"/>
  <c r="I343" i="17"/>
  <c r="N343" i="17" s="1"/>
  <c r="I346" i="17"/>
  <c r="N346" i="17" s="1"/>
  <c r="S350" i="17"/>
  <c r="I352" i="17"/>
  <c r="N352" i="17" s="1"/>
  <c r="P352" i="17"/>
  <c r="S359" i="17"/>
  <c r="I368" i="17"/>
  <c r="N368" i="17" s="1"/>
  <c r="P368" i="17"/>
  <c r="R394" i="17"/>
  <c r="I394" i="17"/>
  <c r="N394" i="17" s="1"/>
  <c r="P400" i="17"/>
  <c r="I400" i="17"/>
  <c r="N400" i="17" s="1"/>
  <c r="S439" i="17"/>
  <c r="I659" i="17"/>
  <c r="N659" i="17" s="1"/>
  <c r="O659" i="17"/>
  <c r="O507" i="16"/>
  <c r="O515" i="16"/>
  <c r="O523" i="16"/>
  <c r="O531" i="16"/>
  <c r="O539" i="16"/>
  <c r="O547" i="16"/>
  <c r="O555" i="16"/>
  <c r="S555" i="16" s="1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S707" i="16" s="1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S89" i="17" s="1"/>
  <c r="O97" i="17"/>
  <c r="O105" i="17"/>
  <c r="O113" i="17"/>
  <c r="I125" i="17"/>
  <c r="N125" i="17" s="1"/>
  <c r="P125" i="17"/>
  <c r="I136" i="17"/>
  <c r="N136" i="17" s="1"/>
  <c r="O136" i="17"/>
  <c r="R167" i="17"/>
  <c r="I167" i="17"/>
  <c r="N167" i="17" s="1"/>
  <c r="I170" i="17"/>
  <c r="N170" i="17" s="1"/>
  <c r="R199" i="17"/>
  <c r="I199" i="17"/>
  <c r="N199" i="17" s="1"/>
  <c r="I202" i="17"/>
  <c r="N202" i="17" s="1"/>
  <c r="R231" i="17"/>
  <c r="I231" i="17"/>
  <c r="N231" i="17" s="1"/>
  <c r="S231" i="17" s="1"/>
  <c r="I234" i="17"/>
  <c r="N234" i="17" s="1"/>
  <c r="R263" i="17"/>
  <c r="I263" i="17"/>
  <c r="N263" i="17" s="1"/>
  <c r="I266" i="17"/>
  <c r="N266" i="17" s="1"/>
  <c r="R295" i="17"/>
  <c r="I295" i="17"/>
  <c r="N295" i="17" s="1"/>
  <c r="I298" i="17"/>
  <c r="N298" i="17" s="1"/>
  <c r="I320" i="17"/>
  <c r="N320" i="17" s="1"/>
  <c r="O320" i="17"/>
  <c r="I331" i="17"/>
  <c r="N331" i="17" s="1"/>
  <c r="S331" i="17" s="1"/>
  <c r="I333" i="17"/>
  <c r="N333" i="17" s="1"/>
  <c r="P333" i="17"/>
  <c r="I355" i="17"/>
  <c r="N355" i="17" s="1"/>
  <c r="O355" i="17"/>
  <c r="I371" i="17"/>
  <c r="N371" i="17" s="1"/>
  <c r="O371" i="17"/>
  <c r="I396" i="17"/>
  <c r="N396" i="17" s="1"/>
  <c r="I403" i="17"/>
  <c r="N403" i="17" s="1"/>
  <c r="O403" i="17"/>
  <c r="O534" i="16"/>
  <c r="O542" i="16"/>
  <c r="O550" i="16"/>
  <c r="O558" i="16"/>
  <c r="O566" i="16"/>
  <c r="O574" i="16"/>
  <c r="O582" i="16"/>
  <c r="O590" i="16"/>
  <c r="O598" i="16"/>
  <c r="S598" i="16" s="1"/>
  <c r="O606" i="16"/>
  <c r="O614" i="16"/>
  <c r="O622" i="16"/>
  <c r="O630" i="16"/>
  <c r="O638" i="16"/>
  <c r="O646" i="16"/>
  <c r="O654" i="16"/>
  <c r="O662" i="16"/>
  <c r="S662" i="16" s="1"/>
  <c r="O670" i="16"/>
  <c r="I123" i="17"/>
  <c r="N123" i="17" s="1"/>
  <c r="S123" i="17" s="1"/>
  <c r="I130" i="17"/>
  <c r="N130" i="17" s="1"/>
  <c r="I152" i="17"/>
  <c r="N152" i="17" s="1"/>
  <c r="O152" i="17"/>
  <c r="I157" i="17"/>
  <c r="N157" i="17" s="1"/>
  <c r="P157" i="17"/>
  <c r="I176" i="17"/>
  <c r="N176" i="17" s="1"/>
  <c r="O176" i="17"/>
  <c r="I187" i="17"/>
  <c r="N187" i="17" s="1"/>
  <c r="S187" i="17" s="1"/>
  <c r="I189" i="17"/>
  <c r="N189" i="17" s="1"/>
  <c r="P189" i="17"/>
  <c r="I208" i="17"/>
  <c r="N208" i="17" s="1"/>
  <c r="O208" i="17"/>
  <c r="I219" i="17"/>
  <c r="N219" i="17" s="1"/>
  <c r="S219" i="17" s="1"/>
  <c r="I221" i="17"/>
  <c r="N221" i="17" s="1"/>
  <c r="P221" i="17"/>
  <c r="I240" i="17"/>
  <c r="N240" i="17" s="1"/>
  <c r="O240" i="17"/>
  <c r="I251" i="17"/>
  <c r="N251" i="17" s="1"/>
  <c r="S251" i="17" s="1"/>
  <c r="I253" i="17"/>
  <c r="N253" i="17" s="1"/>
  <c r="P253" i="17"/>
  <c r="I272" i="17"/>
  <c r="N272" i="17" s="1"/>
  <c r="O272" i="17"/>
  <c r="S278" i="17"/>
  <c r="I283" i="17"/>
  <c r="N283" i="17" s="1"/>
  <c r="S283" i="17" s="1"/>
  <c r="I285" i="17"/>
  <c r="N285" i="17" s="1"/>
  <c r="P285" i="17"/>
  <c r="I306" i="17"/>
  <c r="N306" i="17" s="1"/>
  <c r="R335" i="17"/>
  <c r="I335" i="17"/>
  <c r="N335" i="17" s="1"/>
  <c r="I338" i="17"/>
  <c r="N338" i="17" s="1"/>
  <c r="S345" i="17"/>
  <c r="R463" i="17"/>
  <c r="I463" i="17"/>
  <c r="N463" i="17" s="1"/>
  <c r="I576" i="17"/>
  <c r="N576" i="17" s="1"/>
  <c r="P576" i="17"/>
  <c r="I141" i="17"/>
  <c r="N141" i="17" s="1"/>
  <c r="P141" i="17"/>
  <c r="Q150" i="17"/>
  <c r="I155" i="17"/>
  <c r="N155" i="17" s="1"/>
  <c r="S155" i="17" s="1"/>
  <c r="R159" i="17"/>
  <c r="I159" i="17"/>
  <c r="N159" i="17" s="1"/>
  <c r="I162" i="17"/>
  <c r="N162" i="17" s="1"/>
  <c r="R191" i="17"/>
  <c r="I191" i="17"/>
  <c r="N191" i="17" s="1"/>
  <c r="I194" i="17"/>
  <c r="N194" i="17" s="1"/>
  <c r="R223" i="17"/>
  <c r="I223" i="17"/>
  <c r="N223" i="17" s="1"/>
  <c r="I226" i="17"/>
  <c r="N226" i="17" s="1"/>
  <c r="S233" i="17"/>
  <c r="R255" i="17"/>
  <c r="I255" i="17"/>
  <c r="N255" i="17" s="1"/>
  <c r="I258" i="17"/>
  <c r="N258" i="17" s="1"/>
  <c r="S265" i="17"/>
  <c r="R287" i="17"/>
  <c r="I287" i="17"/>
  <c r="N287" i="17" s="1"/>
  <c r="I290" i="17"/>
  <c r="N290" i="17" s="1"/>
  <c r="I312" i="17"/>
  <c r="N312" i="17" s="1"/>
  <c r="O312" i="17"/>
  <c r="I323" i="17"/>
  <c r="N323" i="17" s="1"/>
  <c r="S323" i="17" s="1"/>
  <c r="I325" i="17"/>
  <c r="N325" i="17" s="1"/>
  <c r="P325" i="17"/>
  <c r="I344" i="17"/>
  <c r="N344" i="17" s="1"/>
  <c r="O344" i="17"/>
  <c r="S348" i="17"/>
  <c r="Q349" i="17"/>
  <c r="I349" i="17"/>
  <c r="N349" i="17" s="1"/>
  <c r="I354" i="17"/>
  <c r="N354" i="17" s="1"/>
  <c r="S364" i="17"/>
  <c r="Q365" i="17"/>
  <c r="I365" i="17"/>
  <c r="N365" i="17" s="1"/>
  <c r="I399" i="17"/>
  <c r="N399" i="17" s="1"/>
  <c r="Q399" i="17"/>
  <c r="I405" i="17"/>
  <c r="N405" i="17" s="1"/>
  <c r="O405" i="17"/>
  <c r="S427" i="17"/>
  <c r="I476" i="17"/>
  <c r="N476" i="17" s="1"/>
  <c r="O476" i="17"/>
  <c r="I128" i="17"/>
  <c r="N128" i="17" s="1"/>
  <c r="O128" i="17"/>
  <c r="I146" i="17"/>
  <c r="N146" i="17" s="1"/>
  <c r="I168" i="17"/>
  <c r="N168" i="17" s="1"/>
  <c r="O168" i="17"/>
  <c r="I181" i="17"/>
  <c r="N181" i="17" s="1"/>
  <c r="P181" i="17"/>
  <c r="I200" i="17"/>
  <c r="N200" i="17" s="1"/>
  <c r="O200" i="17"/>
  <c r="I213" i="17"/>
  <c r="N213" i="17" s="1"/>
  <c r="P213" i="17"/>
  <c r="I232" i="17"/>
  <c r="N232" i="17" s="1"/>
  <c r="O232" i="17"/>
  <c r="I245" i="17"/>
  <c r="N245" i="17" s="1"/>
  <c r="P245" i="17"/>
  <c r="I264" i="17"/>
  <c r="N264" i="17" s="1"/>
  <c r="O264" i="17"/>
  <c r="I277" i="17"/>
  <c r="N277" i="17" s="1"/>
  <c r="P277" i="17"/>
  <c r="I296" i="17"/>
  <c r="N296" i="17" s="1"/>
  <c r="O296" i="17"/>
  <c r="I304" i="17"/>
  <c r="N304" i="17" s="1"/>
  <c r="O304" i="17"/>
  <c r="R327" i="17"/>
  <c r="I327" i="17"/>
  <c r="N327" i="17" s="1"/>
  <c r="I330" i="17"/>
  <c r="N330" i="17" s="1"/>
  <c r="S337" i="17"/>
  <c r="S358" i="17"/>
  <c r="I360" i="17"/>
  <c r="N360" i="17" s="1"/>
  <c r="P360" i="17"/>
  <c r="I376" i="17"/>
  <c r="N376" i="17" s="1"/>
  <c r="P376" i="17"/>
  <c r="P380" i="17"/>
  <c r="I380" i="17"/>
  <c r="N380" i="17" s="1"/>
  <c r="I568" i="17"/>
  <c r="N568" i="17" s="1"/>
  <c r="O568" i="17"/>
  <c r="P628" i="17"/>
  <c r="I628" i="17"/>
  <c r="N628" i="17" s="1"/>
  <c r="P637" i="17"/>
  <c r="I637" i="17"/>
  <c r="N637" i="17" s="1"/>
  <c r="O116" i="17"/>
  <c r="I122" i="17"/>
  <c r="N122" i="17" s="1"/>
  <c r="I145" i="17"/>
  <c r="N145" i="17" s="1"/>
  <c r="S145" i="17" s="1"/>
  <c r="O148" i="17"/>
  <c r="R183" i="17"/>
  <c r="I183" i="17"/>
  <c r="N183" i="17" s="1"/>
  <c r="I186" i="17"/>
  <c r="N186" i="17" s="1"/>
  <c r="R215" i="17"/>
  <c r="I215" i="17"/>
  <c r="N215" i="17" s="1"/>
  <c r="I218" i="17"/>
  <c r="N218" i="17" s="1"/>
  <c r="R247" i="17"/>
  <c r="I247" i="17"/>
  <c r="N247" i="17" s="1"/>
  <c r="S247" i="17" s="1"/>
  <c r="I250" i="17"/>
  <c r="N250" i="17" s="1"/>
  <c r="R279" i="17"/>
  <c r="I279" i="17"/>
  <c r="N279" i="17" s="1"/>
  <c r="I282" i="17"/>
  <c r="N282" i="17" s="1"/>
  <c r="S310" i="17"/>
  <c r="I315" i="17"/>
  <c r="N315" i="17" s="1"/>
  <c r="S315" i="17" s="1"/>
  <c r="I317" i="17"/>
  <c r="N317" i="17" s="1"/>
  <c r="P317" i="17"/>
  <c r="S332" i="17"/>
  <c r="I336" i="17"/>
  <c r="N336" i="17" s="1"/>
  <c r="O336" i="17"/>
  <c r="I347" i="17"/>
  <c r="N347" i="17" s="1"/>
  <c r="O347" i="17"/>
  <c r="I363" i="17"/>
  <c r="N363" i="17" s="1"/>
  <c r="O363" i="17"/>
  <c r="O484" i="17"/>
  <c r="I484" i="17"/>
  <c r="N484" i="17" s="1"/>
  <c r="O592" i="17"/>
  <c r="I592" i="17"/>
  <c r="N592" i="17" s="1"/>
  <c r="I160" i="17"/>
  <c r="N160" i="17" s="1"/>
  <c r="O160" i="17"/>
  <c r="I173" i="17"/>
  <c r="N173" i="17" s="1"/>
  <c r="P173" i="17"/>
  <c r="I192" i="17"/>
  <c r="N192" i="17" s="1"/>
  <c r="O192" i="17"/>
  <c r="I205" i="17"/>
  <c r="N205" i="17" s="1"/>
  <c r="P205" i="17"/>
  <c r="I224" i="17"/>
  <c r="N224" i="17" s="1"/>
  <c r="O224" i="17"/>
  <c r="I237" i="17"/>
  <c r="N237" i="17" s="1"/>
  <c r="P237" i="17"/>
  <c r="S252" i="17"/>
  <c r="I256" i="17"/>
  <c r="N256" i="17" s="1"/>
  <c r="S256" i="17" s="1"/>
  <c r="O256" i="17"/>
  <c r="I269" i="17"/>
  <c r="N269" i="17" s="1"/>
  <c r="P269" i="17"/>
  <c r="I288" i="17"/>
  <c r="N288" i="17" s="1"/>
  <c r="O288" i="17"/>
  <c r="I301" i="17"/>
  <c r="N301" i="17" s="1"/>
  <c r="P301" i="17"/>
  <c r="R319" i="17"/>
  <c r="I319" i="17"/>
  <c r="N319" i="17" s="1"/>
  <c r="I398" i="17"/>
  <c r="N398" i="17" s="1"/>
  <c r="Q398" i="17"/>
  <c r="I404" i="17"/>
  <c r="N404" i="17" s="1"/>
  <c r="O404" i="17"/>
  <c r="S419" i="17"/>
  <c r="O587" i="17"/>
  <c r="I587" i="17"/>
  <c r="N587" i="17" s="1"/>
  <c r="I353" i="17"/>
  <c r="N353" i="17" s="1"/>
  <c r="S353" i="17" s="1"/>
  <c r="I361" i="17"/>
  <c r="N361" i="17" s="1"/>
  <c r="S361" i="17" s="1"/>
  <c r="I369" i="17"/>
  <c r="N369" i="17" s="1"/>
  <c r="S369" i="17" s="1"/>
  <c r="I377" i="17"/>
  <c r="N377" i="17" s="1"/>
  <c r="S377" i="17" s="1"/>
  <c r="I385" i="17"/>
  <c r="N385" i="17" s="1"/>
  <c r="O385" i="17"/>
  <c r="I386" i="17"/>
  <c r="N386" i="17" s="1"/>
  <c r="S386" i="17" s="1"/>
  <c r="I388" i="17"/>
  <c r="N388" i="17" s="1"/>
  <c r="S388" i="17" s="1"/>
  <c r="O396" i="17"/>
  <c r="I408" i="17"/>
  <c r="N408" i="17" s="1"/>
  <c r="S408" i="17" s="1"/>
  <c r="I412" i="17"/>
  <c r="N412" i="17" s="1"/>
  <c r="S412" i="17" s="1"/>
  <c r="I417" i="17"/>
  <c r="N417" i="17" s="1"/>
  <c r="O417" i="17"/>
  <c r="I420" i="17"/>
  <c r="N420" i="17" s="1"/>
  <c r="S420" i="17" s="1"/>
  <c r="I425" i="17"/>
  <c r="N425" i="17" s="1"/>
  <c r="O425" i="17"/>
  <c r="I428" i="17"/>
  <c r="N428" i="17" s="1"/>
  <c r="S428" i="17" s="1"/>
  <c r="I433" i="17"/>
  <c r="N433" i="17" s="1"/>
  <c r="O433" i="17"/>
  <c r="I436" i="17"/>
  <c r="N436" i="17" s="1"/>
  <c r="S436" i="17" s="1"/>
  <c r="I441" i="17"/>
  <c r="N441" i="17" s="1"/>
  <c r="O441" i="17"/>
  <c r="I446" i="17"/>
  <c r="N446" i="17" s="1"/>
  <c r="S446" i="17" s="1"/>
  <c r="I457" i="17"/>
  <c r="N457" i="17" s="1"/>
  <c r="O457" i="17"/>
  <c r="R478" i="17"/>
  <c r="I478" i="17"/>
  <c r="N478" i="17" s="1"/>
  <c r="R498" i="17"/>
  <c r="I498" i="17"/>
  <c r="N498" i="17" s="1"/>
  <c r="R511" i="17"/>
  <c r="I511" i="17"/>
  <c r="N511" i="17" s="1"/>
  <c r="S514" i="17"/>
  <c r="I518" i="17"/>
  <c r="N518" i="17" s="1"/>
  <c r="S518" i="17" s="1"/>
  <c r="I525" i="17"/>
  <c r="N525" i="17" s="1"/>
  <c r="P525" i="17"/>
  <c r="I527" i="17"/>
  <c r="N527" i="17" s="1"/>
  <c r="S527" i="17" s="1"/>
  <c r="I553" i="17"/>
  <c r="N553" i="17" s="1"/>
  <c r="S553" i="17" s="1"/>
  <c r="I586" i="17"/>
  <c r="N586" i="17" s="1"/>
  <c r="S586" i="17" s="1"/>
  <c r="I611" i="17"/>
  <c r="N611" i="17" s="1"/>
  <c r="S611" i="17" s="1"/>
  <c r="I647" i="17"/>
  <c r="N647" i="17" s="1"/>
  <c r="O647" i="17"/>
  <c r="I658" i="17"/>
  <c r="N658" i="17" s="1"/>
  <c r="S658" i="17" s="1"/>
  <c r="O122" i="17"/>
  <c r="O130" i="17"/>
  <c r="O138" i="17"/>
  <c r="S138" i="17" s="1"/>
  <c r="O146" i="17"/>
  <c r="O154" i="17"/>
  <c r="O162" i="17"/>
  <c r="O170" i="17"/>
  <c r="O178" i="17"/>
  <c r="S178" i="17" s="1"/>
  <c r="O186" i="17"/>
  <c r="O194" i="17"/>
  <c r="O202" i="17"/>
  <c r="O210" i="17"/>
  <c r="O218" i="17"/>
  <c r="O226" i="17"/>
  <c r="O234" i="17"/>
  <c r="O242" i="17"/>
  <c r="S242" i="17" s="1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I387" i="17"/>
  <c r="N387" i="17" s="1"/>
  <c r="O387" i="17"/>
  <c r="I391" i="17"/>
  <c r="N391" i="17" s="1"/>
  <c r="S391" i="17" s="1"/>
  <c r="O397" i="17"/>
  <c r="S397" i="17" s="1"/>
  <c r="I409" i="17"/>
  <c r="N409" i="17" s="1"/>
  <c r="O409" i="17"/>
  <c r="I414" i="17"/>
  <c r="N414" i="17" s="1"/>
  <c r="S414" i="17" s="1"/>
  <c r="I422" i="17"/>
  <c r="N422" i="17" s="1"/>
  <c r="S422" i="17" s="1"/>
  <c r="I430" i="17"/>
  <c r="N430" i="17" s="1"/>
  <c r="S430" i="17" s="1"/>
  <c r="I438" i="17"/>
  <c r="N438" i="17" s="1"/>
  <c r="S438" i="17" s="1"/>
  <c r="I443" i="17"/>
  <c r="N443" i="17" s="1"/>
  <c r="S443" i="17" s="1"/>
  <c r="R448" i="17"/>
  <c r="I448" i="17"/>
  <c r="N448" i="17" s="1"/>
  <c r="I450" i="17"/>
  <c r="N450" i="17" s="1"/>
  <c r="S450" i="17" s="1"/>
  <c r="S454" i="17"/>
  <c r="I465" i="17"/>
  <c r="N465" i="17" s="1"/>
  <c r="S465" i="17" s="1"/>
  <c r="S481" i="17"/>
  <c r="I483" i="17"/>
  <c r="N483" i="17" s="1"/>
  <c r="S483" i="17" s="1"/>
  <c r="I500" i="17"/>
  <c r="N500" i="17" s="1"/>
  <c r="S500" i="17" s="1"/>
  <c r="Q506" i="17"/>
  <c r="I506" i="17"/>
  <c r="N506" i="17" s="1"/>
  <c r="I508" i="17"/>
  <c r="N508" i="17" s="1"/>
  <c r="S508" i="17" s="1"/>
  <c r="R530" i="17"/>
  <c r="I530" i="17"/>
  <c r="N530" i="17" s="1"/>
  <c r="R543" i="17"/>
  <c r="I543" i="17"/>
  <c r="N543" i="17" s="1"/>
  <c r="I550" i="17"/>
  <c r="N550" i="17" s="1"/>
  <c r="S550" i="17" s="1"/>
  <c r="P596" i="17"/>
  <c r="I596" i="17"/>
  <c r="N596" i="17" s="1"/>
  <c r="Q490" i="17"/>
  <c r="I490" i="17"/>
  <c r="N490" i="17" s="1"/>
  <c r="Q538" i="17"/>
  <c r="I538" i="17"/>
  <c r="N538" i="17" s="1"/>
  <c r="I604" i="17"/>
  <c r="N604" i="17" s="1"/>
  <c r="Q604" i="17"/>
  <c r="O666" i="17"/>
  <c r="I666" i="17"/>
  <c r="N666" i="17" s="1"/>
  <c r="I393" i="17"/>
  <c r="N393" i="17" s="1"/>
  <c r="O393" i="17"/>
  <c r="I480" i="17"/>
  <c r="N480" i="17" s="1"/>
  <c r="O480" i="17"/>
  <c r="I487" i="17"/>
  <c r="N487" i="17" s="1"/>
  <c r="O487" i="17"/>
  <c r="S492" i="17"/>
  <c r="S504" i="17"/>
  <c r="I520" i="17"/>
  <c r="N520" i="17" s="1"/>
  <c r="O520" i="17"/>
  <c r="I545" i="17"/>
  <c r="N545" i="17" s="1"/>
  <c r="S545" i="17" s="1"/>
  <c r="P563" i="17"/>
  <c r="I563" i="17"/>
  <c r="N563" i="17" s="1"/>
  <c r="I566" i="17"/>
  <c r="N566" i="17" s="1"/>
  <c r="O566" i="17"/>
  <c r="I569" i="17"/>
  <c r="N569" i="17" s="1"/>
  <c r="S569" i="17" s="1"/>
  <c r="P578" i="17"/>
  <c r="I578" i="17"/>
  <c r="N578" i="17" s="1"/>
  <c r="O594" i="17"/>
  <c r="I594" i="17"/>
  <c r="N594" i="17" s="1"/>
  <c r="O610" i="17"/>
  <c r="I610" i="17"/>
  <c r="N610" i="17" s="1"/>
  <c r="I395" i="17"/>
  <c r="N395" i="17" s="1"/>
  <c r="O395" i="17"/>
  <c r="I453" i="17"/>
  <c r="N453" i="17" s="1"/>
  <c r="P453" i="17"/>
  <c r="S462" i="17"/>
  <c r="R467" i="17"/>
  <c r="I467" i="17"/>
  <c r="N467" i="17" s="1"/>
  <c r="R482" i="17"/>
  <c r="I482" i="17"/>
  <c r="N482" i="17" s="1"/>
  <c r="O526" i="17"/>
  <c r="I526" i="17"/>
  <c r="N526" i="17" s="1"/>
  <c r="I552" i="17"/>
  <c r="N552" i="17" s="1"/>
  <c r="O552" i="17"/>
  <c r="O573" i="17"/>
  <c r="I573" i="17"/>
  <c r="N573" i="17" s="1"/>
  <c r="S590" i="17"/>
  <c r="P629" i="17"/>
  <c r="I629" i="17"/>
  <c r="N629" i="17" s="1"/>
  <c r="I653" i="17"/>
  <c r="N653" i="17" s="1"/>
  <c r="P653" i="17"/>
  <c r="O413" i="17"/>
  <c r="O421" i="17"/>
  <c r="O429" i="17"/>
  <c r="O437" i="17"/>
  <c r="I449" i="17"/>
  <c r="N449" i="17" s="1"/>
  <c r="I472" i="17"/>
  <c r="N472" i="17" s="1"/>
  <c r="O472" i="17"/>
  <c r="O507" i="17"/>
  <c r="I507" i="17"/>
  <c r="N507" i="17" s="1"/>
  <c r="R559" i="17"/>
  <c r="I559" i="17"/>
  <c r="N559" i="17" s="1"/>
  <c r="I593" i="17"/>
  <c r="N593" i="17" s="1"/>
  <c r="O593" i="17"/>
  <c r="I609" i="17"/>
  <c r="N609" i="17" s="1"/>
  <c r="O609" i="17"/>
  <c r="P620" i="17"/>
  <c r="I620" i="17"/>
  <c r="N620" i="17" s="1"/>
  <c r="I381" i="17"/>
  <c r="N381" i="17" s="1"/>
  <c r="S381" i="17" s="1"/>
  <c r="I382" i="17"/>
  <c r="N382" i="17" s="1"/>
  <c r="S382" i="17" s="1"/>
  <c r="O389" i="17"/>
  <c r="S389" i="17" s="1"/>
  <c r="I401" i="17"/>
  <c r="N401" i="17" s="1"/>
  <c r="O401" i="17"/>
  <c r="S447" i="17"/>
  <c r="I460" i="17"/>
  <c r="N460" i="17" s="1"/>
  <c r="S460" i="17" s="1"/>
  <c r="S469" i="17"/>
  <c r="I491" i="17"/>
  <c r="N491" i="17" s="1"/>
  <c r="O491" i="17"/>
  <c r="R493" i="17"/>
  <c r="I493" i="17"/>
  <c r="N493" i="17" s="1"/>
  <c r="S529" i="17"/>
  <c r="O539" i="17"/>
  <c r="I539" i="17"/>
  <c r="N539" i="17" s="1"/>
  <c r="Q562" i="17"/>
  <c r="I562" i="17"/>
  <c r="N562" i="17" s="1"/>
  <c r="O564" i="17"/>
  <c r="I564" i="17"/>
  <c r="N564" i="17" s="1"/>
  <c r="P606" i="17"/>
  <c r="I606" i="17"/>
  <c r="N606" i="17" s="1"/>
  <c r="I619" i="17"/>
  <c r="N619" i="17" s="1"/>
  <c r="O619" i="17"/>
  <c r="I648" i="17"/>
  <c r="N648" i="17" s="1"/>
  <c r="O648" i="17"/>
  <c r="P572" i="17"/>
  <c r="I572" i="17"/>
  <c r="N572" i="17" s="1"/>
  <c r="I591" i="17"/>
  <c r="N591" i="17" s="1"/>
  <c r="O591" i="17"/>
  <c r="Q627" i="17"/>
  <c r="I627" i="17"/>
  <c r="N627" i="17" s="1"/>
  <c r="P636" i="17"/>
  <c r="I636" i="17"/>
  <c r="N636" i="17" s="1"/>
  <c r="I657" i="17"/>
  <c r="N657" i="17" s="1"/>
  <c r="O657" i="17"/>
  <c r="I665" i="17"/>
  <c r="N665" i="17" s="1"/>
  <c r="O665" i="17"/>
  <c r="O411" i="17"/>
  <c r="O449" i="17"/>
  <c r="I470" i="17"/>
  <c r="N470" i="17" s="1"/>
  <c r="S470" i="17" s="1"/>
  <c r="I510" i="17"/>
  <c r="N510" i="17" s="1"/>
  <c r="S510" i="17" s="1"/>
  <c r="I523" i="17"/>
  <c r="N523" i="17" s="1"/>
  <c r="S523" i="17" s="1"/>
  <c r="I542" i="17"/>
  <c r="N542" i="17" s="1"/>
  <c r="S542" i="17" s="1"/>
  <c r="I555" i="17"/>
  <c r="N555" i="17" s="1"/>
  <c r="S555" i="17" s="1"/>
  <c r="I585" i="17"/>
  <c r="N585" i="17" s="1"/>
  <c r="O585" i="17"/>
  <c r="I608" i="17"/>
  <c r="N608" i="17" s="1"/>
  <c r="O608" i="17"/>
  <c r="I618" i="17"/>
  <c r="N618" i="17" s="1"/>
  <c r="O618" i="17"/>
  <c r="I645" i="17"/>
  <c r="N645" i="17" s="1"/>
  <c r="P645" i="17"/>
  <c r="I656" i="17"/>
  <c r="N656" i="17" s="1"/>
  <c r="O656" i="17"/>
  <c r="I664" i="17"/>
  <c r="N664" i="17" s="1"/>
  <c r="O664" i="17"/>
  <c r="I675" i="17"/>
  <c r="N675" i="17" s="1"/>
  <c r="O675" i="17"/>
  <c r="S693" i="17"/>
  <c r="I475" i="17"/>
  <c r="N475" i="17" s="1"/>
  <c r="S475" i="17" s="1"/>
  <c r="I499" i="17"/>
  <c r="N499" i="17" s="1"/>
  <c r="S499" i="17" s="1"/>
  <c r="I531" i="17"/>
  <c r="N531" i="17" s="1"/>
  <c r="S531" i="17" s="1"/>
  <c r="I561" i="17"/>
  <c r="N561" i="17" s="1"/>
  <c r="S561" i="17" s="1"/>
  <c r="I579" i="17"/>
  <c r="N579" i="17" s="1"/>
  <c r="O579" i="17"/>
  <c r="I583" i="17"/>
  <c r="N583" i="17" s="1"/>
  <c r="O583" i="17"/>
  <c r="I600" i="17"/>
  <c r="N600" i="17" s="1"/>
  <c r="O600" i="17"/>
  <c r="I617" i="17"/>
  <c r="N617" i="17" s="1"/>
  <c r="O617" i="17"/>
  <c r="I626" i="17"/>
  <c r="N626" i="17" s="1"/>
  <c r="Q626" i="17"/>
  <c r="P644" i="17"/>
  <c r="I644" i="17"/>
  <c r="N644" i="17" s="1"/>
  <c r="I654" i="17"/>
  <c r="N654" i="17" s="1"/>
  <c r="S654" i="17" s="1"/>
  <c r="I655" i="17"/>
  <c r="N655" i="17" s="1"/>
  <c r="O655" i="17"/>
  <c r="I663" i="17"/>
  <c r="N663" i="17" s="1"/>
  <c r="O663" i="17"/>
  <c r="I701" i="17"/>
  <c r="N701" i="17" s="1"/>
  <c r="Q701" i="17"/>
  <c r="I456" i="17"/>
  <c r="N456" i="17" s="1"/>
  <c r="S456" i="17" s="1"/>
  <c r="I494" i="17"/>
  <c r="N494" i="17" s="1"/>
  <c r="S494" i="17" s="1"/>
  <c r="I512" i="17"/>
  <c r="N512" i="17" s="1"/>
  <c r="S512" i="17" s="1"/>
  <c r="I517" i="17"/>
  <c r="N517" i="17" s="1"/>
  <c r="S517" i="17" s="1"/>
  <c r="I544" i="17"/>
  <c r="N544" i="17" s="1"/>
  <c r="S544" i="17" s="1"/>
  <c r="I549" i="17"/>
  <c r="N549" i="17" s="1"/>
  <c r="S549" i="17" s="1"/>
  <c r="I558" i="17"/>
  <c r="N558" i="17" s="1"/>
  <c r="O558" i="17"/>
  <c r="I560" i="17"/>
  <c r="N560" i="17" s="1"/>
  <c r="S560" i="17" s="1"/>
  <c r="I582" i="17"/>
  <c r="N582" i="17" s="1"/>
  <c r="S582" i="17" s="1"/>
  <c r="I599" i="17"/>
  <c r="N599" i="17" s="1"/>
  <c r="O599" i="17"/>
  <c r="I607" i="17"/>
  <c r="N607" i="17" s="1"/>
  <c r="O607" i="17"/>
  <c r="Q613" i="17"/>
  <c r="S613" i="17" s="1"/>
  <c r="I674" i="17"/>
  <c r="N674" i="17" s="1"/>
  <c r="O674" i="17"/>
  <c r="I691" i="17"/>
  <c r="N691" i="17" s="1"/>
  <c r="O691" i="17"/>
  <c r="I707" i="17"/>
  <c r="N707" i="17" s="1"/>
  <c r="O707" i="17"/>
  <c r="I464" i="17"/>
  <c r="N464" i="17" s="1"/>
  <c r="S464" i="17" s="1"/>
  <c r="O488" i="17"/>
  <c r="O496" i="17"/>
  <c r="S496" i="17" s="1"/>
  <c r="P501" i="17"/>
  <c r="O528" i="17"/>
  <c r="P533" i="17"/>
  <c r="S533" i="17" s="1"/>
  <c r="I557" i="17"/>
  <c r="N557" i="17" s="1"/>
  <c r="S557" i="17" s="1"/>
  <c r="P565" i="17"/>
  <c r="S565" i="17" s="1"/>
  <c r="O571" i="17"/>
  <c r="S571" i="17" s="1"/>
  <c r="I574" i="17"/>
  <c r="N574" i="17" s="1"/>
  <c r="S574" i="17" s="1"/>
  <c r="I577" i="17"/>
  <c r="N577" i="17" s="1"/>
  <c r="S577" i="17" s="1"/>
  <c r="P589" i="17"/>
  <c r="S589" i="17" s="1"/>
  <c r="I597" i="17"/>
  <c r="N597" i="17" s="1"/>
  <c r="S597" i="17" s="1"/>
  <c r="I598" i="17"/>
  <c r="N598" i="17" s="1"/>
  <c r="S598" i="17" s="1"/>
  <c r="I642" i="17"/>
  <c r="N642" i="17" s="1"/>
  <c r="S642" i="17" s="1"/>
  <c r="I662" i="17"/>
  <c r="N662" i="17" s="1"/>
  <c r="P662" i="17"/>
  <c r="I667" i="17"/>
  <c r="N667" i="17" s="1"/>
  <c r="S667" i="17" s="1"/>
  <c r="I690" i="17"/>
  <c r="N690" i="17" s="1"/>
  <c r="S690" i="17" s="1"/>
  <c r="I700" i="17"/>
  <c r="N700" i="17" s="1"/>
  <c r="P700" i="17"/>
  <c r="I673" i="17"/>
  <c r="N673" i="17" s="1"/>
  <c r="O673" i="17"/>
  <c r="I682" i="17"/>
  <c r="N682" i="17" s="1"/>
  <c r="I699" i="17"/>
  <c r="N699" i="17" s="1"/>
  <c r="O699" i="17"/>
  <c r="I575" i="17"/>
  <c r="N575" i="17" s="1"/>
  <c r="O575" i="17"/>
  <c r="P614" i="17"/>
  <c r="I639" i="17"/>
  <c r="N639" i="17" s="1"/>
  <c r="O639" i="17"/>
  <c r="I640" i="17"/>
  <c r="N640" i="17" s="1"/>
  <c r="S640" i="17" s="1"/>
  <c r="I643" i="17"/>
  <c r="N643" i="17" s="1"/>
  <c r="S643" i="17" s="1"/>
  <c r="I649" i="17"/>
  <c r="N649" i="17" s="1"/>
  <c r="S649" i="17" s="1"/>
  <c r="I660" i="17"/>
  <c r="N660" i="17" s="1"/>
  <c r="S660" i="17" s="1"/>
  <c r="P678" i="17"/>
  <c r="O682" i="17"/>
  <c r="I687" i="17"/>
  <c r="N687" i="17" s="1"/>
  <c r="O687" i="17"/>
  <c r="I688" i="17"/>
  <c r="N688" i="17" s="1"/>
  <c r="S688" i="17" s="1"/>
  <c r="I689" i="17"/>
  <c r="N689" i="17" s="1"/>
  <c r="O689" i="17"/>
  <c r="I695" i="17"/>
  <c r="N695" i="17" s="1"/>
  <c r="O695" i="17"/>
  <c r="I696" i="17"/>
  <c r="N696" i="17" s="1"/>
  <c r="S696" i="17" s="1"/>
  <c r="I697" i="17"/>
  <c r="N697" i="17" s="1"/>
  <c r="O697" i="17"/>
  <c r="I708" i="17"/>
  <c r="N708" i="17" s="1"/>
  <c r="P708" i="17"/>
  <c r="I631" i="17"/>
  <c r="N631" i="17" s="1"/>
  <c r="O631" i="17"/>
  <c r="I632" i="17"/>
  <c r="N632" i="17" s="1"/>
  <c r="S632" i="17" s="1"/>
  <c r="I641" i="17"/>
  <c r="N641" i="17" s="1"/>
  <c r="S641" i="17" s="1"/>
  <c r="I652" i="17"/>
  <c r="N652" i="17" s="1"/>
  <c r="S652" i="17" s="1"/>
  <c r="P670" i="17"/>
  <c r="S670" i="17" s="1"/>
  <c r="O683" i="17"/>
  <c r="S683" i="17" s="1"/>
  <c r="I623" i="17"/>
  <c r="N623" i="17" s="1"/>
  <c r="O623" i="17"/>
  <c r="I624" i="17"/>
  <c r="N624" i="17" s="1"/>
  <c r="S624" i="17" s="1"/>
  <c r="I633" i="17"/>
  <c r="N633" i="17" s="1"/>
  <c r="S633" i="17" s="1"/>
  <c r="I615" i="17"/>
  <c r="N615" i="17" s="1"/>
  <c r="O615" i="17"/>
  <c r="I616" i="17"/>
  <c r="N616" i="17" s="1"/>
  <c r="S616" i="17" s="1"/>
  <c r="I625" i="17"/>
  <c r="N625" i="17" s="1"/>
  <c r="S625" i="17" s="1"/>
  <c r="I679" i="17"/>
  <c r="N679" i="17" s="1"/>
  <c r="O679" i="17"/>
  <c r="I680" i="17"/>
  <c r="N680" i="17" s="1"/>
  <c r="S680" i="17" s="1"/>
  <c r="I704" i="17"/>
  <c r="N704" i="17" s="1"/>
  <c r="S704" i="17" s="1"/>
  <c r="I705" i="17"/>
  <c r="N705" i="17" s="1"/>
  <c r="I671" i="17"/>
  <c r="N671" i="17" s="1"/>
  <c r="O671" i="17"/>
  <c r="I672" i="17"/>
  <c r="N672" i="17" s="1"/>
  <c r="S672" i="17" s="1"/>
  <c r="I681" i="17"/>
  <c r="N681" i="17" s="1"/>
  <c r="S681" i="17" s="1"/>
  <c r="I703" i="17"/>
  <c r="N703" i="17" s="1"/>
  <c r="O703" i="17"/>
  <c r="O705" i="17"/>
  <c r="S513" i="17" l="1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<sst xmlns="http://schemas.openxmlformats.org/spreadsheetml/2006/main" count="28387" uniqueCount="3406">
  <si>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</si>
  <si>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</si>
  <si>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</si>
  <si>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</si>
  <si>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</si>
  <si>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</si>
  <si>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</si>
  <si>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</si>
  <si>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</si>
  <si>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</si>
  <si>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</si>
  <si>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</si>
  <si>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</si>
  <si>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</si>
  <si>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</si>
  <si>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</si>
  <si>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</si>
  <si>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</si>
  <si>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</si>
  <si>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</si>
  <si>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</si>
  <si>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</si>
  <si>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</si>
  <si>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</si>
  <si>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</si>
  <si>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</si>
  <si>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</si>
  <si>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</si>
  <si>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</si>
  <si>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</si>
  <si>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</si>
  <si>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</si>
  <si>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</si>
  <si>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</si>
  <si>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</si>
  <si>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</si>
  <si>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</si>
  <si>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</si>
  <si>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</si>
  <si>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</si>
  <si>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</si>
  <si>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</si>
  <si>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</si>
  <si>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</si>
  <si>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</si>
  <si>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</si>
  <si>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</si>
  <si>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</si>
  <si>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</si>
  <si>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</si>
  <si>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</si>
  <si>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</si>
  <si>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</si>
  <si>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</si>
  <si>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</si>
  <si>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</si>
  <si>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</si>
  <si>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</si>
  <si>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</si>
  <si>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</si>
  <si>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</si>
  <si>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</si>
  <si>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</si>
  <si>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</si>
  <si>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</si>
  <si>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</si>
  <si>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</si>
  <si>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</si>
  <si>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</si>
  <si>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</si>
  <si>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</si>
  <si>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</si>
  <si>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</si>
  <si>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</si>
  <si>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</si>
  <si>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</si>
  <si>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</si>
  <si>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</si>
  <si>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</si>
  <si>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</si>
  <si>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</si>
  <si>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</si>
  <si>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</si>
  <si>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</si>
  <si>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</si>
  <si>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</si>
  <si>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</si>
  <si>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</si>
  <si>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</si>
  <si>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</si>
  <si>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</si>
  <si>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</si>
  <si>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</si>
  <si>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</si>
  <si>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</si>
  <si>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</si>
  <si>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</si>
  <si>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</si>
  <si>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</si>
  <si>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</si>
  <si>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</si>
  <si>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</si>
  <si>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</si>
  <si>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</si>
  <si>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</si>
  <si>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</si>
  <si>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</si>
  <si>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</si>
  <si>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</si>
  <si>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</si>
  <si>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</si>
  <si>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</si>
  <si>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</si>
  <si>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</si>
  <si>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</si>
  <si>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</si>
  <si>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</si>
  <si>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</si>
  <si>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</si>
  <si>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</si>
  <si>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</si>
  <si>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</si>
  <si>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</si>
  <si>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</si>
  <si>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</si>
  <si>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</si>
  <si>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</si>
  <si>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</si>
  <si>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</si>
  <si>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</si>
  <si>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</si>
  <si>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</si>
  <si>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</si>
  <si>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</si>
  <si>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</si>
  <si>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</si>
  <si>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</si>
  <si>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</si>
  <si>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</si>
  <si>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</si>
  <si>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</si>
  <si>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</si>
  <si>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</si>
  <si>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</si>
  <si>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</si>
  <si>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</si>
  <si>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</si>
  <si>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</si>
  <si>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</si>
  <si>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</si>
  <si>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</si>
  <si>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</si>
  <si>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</si>
  <si>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</si>
  <si>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</si>
  <si>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</si>
  <si>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</si>
  <si>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</si>
  <si>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</si>
  <si>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</si>
  <si>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</si>
  <si>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</si>
  <si>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</si>
  <si>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</si>
  <si>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</si>
  <si>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</si>
  <si>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</si>
  <si>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</si>
  <si>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</si>
  <si>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</si>
  <si>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</si>
  <si>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</si>
  <si>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</si>
  <si>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</si>
  <si>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</si>
  <si>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</si>
  <si>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</si>
  <si>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</si>
  <si>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</si>
  <si>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</si>
  <si>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</si>
  <si>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</si>
  <si>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</si>
  <si>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</si>
  <si>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</si>
  <si>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</si>
  <si>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</si>
  <si>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</si>
  <si>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</si>
  <si>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</si>
  <si>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</si>
  <si>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</si>
  <si>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</si>
  <si>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</si>
  <si>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</si>
  <si>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</si>
  <si>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</si>
  <si>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</si>
  <si>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</si>
  <si>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</si>
  <si>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</si>
  <si>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</si>
  <si>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</si>
  <si>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</si>
  <si>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</si>
  <si>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</si>
  <si>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</si>
  <si>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</si>
  <si>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</si>
  <si>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</si>
  <si>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</si>
  <si>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</si>
  <si>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</si>
  <si>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</si>
  <si>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</si>
  <si>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</si>
  <si>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</si>
  <si>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</si>
  <si>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</si>
  <si>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</si>
  <si>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</si>
  <si>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</si>
  <si>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</si>
  <si>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</si>
  <si>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</si>
  <si>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</si>
  <si>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</si>
  <si>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</si>
  <si>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</si>
  <si>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</si>
  <si>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</si>
  <si>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</si>
  <si>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</si>
  <si>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</si>
  <si>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</si>
  <si>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</si>
  <si>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</si>
  <si>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</si>
  <si>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</si>
  <si>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</si>
  <si>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</si>
  <si>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</si>
  <si>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</si>
  <si>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</si>
  <si>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</si>
  <si>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</si>
  <si>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</si>
  <si>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</si>
  <si>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</si>
  <si>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</si>
  <si>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</si>
  <si>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</si>
  <si>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</si>
  <si>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</si>
  <si>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</si>
  <si>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</si>
  <si>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</si>
  <si>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</si>
  <si>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</si>
  <si>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</si>
  <si>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</si>
  <si>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</si>
  <si>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</si>
  <si>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</si>
  <si>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</si>
  <si>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</si>
  <si>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</si>
  <si>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</si>
  <si>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</si>
  <si>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</si>
  <si>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</si>
  <si>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</si>
  <si>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</si>
  <si>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</si>
  <si>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</si>
  <si>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</si>
  <si>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</si>
  <si>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</si>
  <si>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</si>
  <si>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</si>
  <si>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</si>
  <si>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</si>
  <si>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</si>
  <si>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</si>
  <si>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</si>
  <si>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</si>
  <si>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</si>
  <si>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</si>
  <si>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</si>
  <si>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</si>
  <si>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</si>
  <si>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</si>
  <si>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</si>
  <si>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</si>
  <si>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</si>
  <si>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</si>
  <si>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</si>
  <si>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</si>
  <si>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</si>
  <si>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</si>
  <si>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</si>
  <si>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</si>
  <si>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</si>
  <si>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</si>
  <si>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</si>
  <si>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</si>
  <si>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</si>
  <si>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</si>
  <si>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</si>
  <si>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</si>
  <si>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</si>
  <si>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</si>
  <si>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</si>
  <si>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</si>
  <si>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</si>
  <si>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</si>
  <si>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</si>
  <si>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</si>
  <si>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</si>
  <si>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</si>
  <si>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</si>
  <si>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</si>
  <si>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</si>
  <si>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</si>
  <si>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</si>
  <si>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</si>
  <si>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</si>
  <si>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</si>
  <si>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</si>
  <si>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</si>
  <si>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</si>
  <si>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</si>
  <si>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</si>
  <si>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</si>
  <si>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</si>
  <si>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</si>
  <si>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</si>
  <si>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</si>
  <si>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</si>
  <si>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</si>
  <si>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</si>
  <si>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</si>
  <si>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</si>
  <si>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</si>
  <si>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</si>
  <si>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</si>
  <si>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</si>
  <si>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</si>
  <si>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</si>
  <si>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</si>
  <si>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</si>
  <si>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</si>
  <si>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</si>
  <si>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</si>
  <si>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</si>
  <si>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</si>
  <si>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</si>
  <si>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</si>
  <si>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</si>
  <si>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</si>
  <si>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</si>
  <si>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</si>
  <si>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</si>
  <si>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</si>
  <si>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</si>
  <si>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</si>
  <si>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</si>
  <si>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</si>
  <si>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</si>
  <si>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</si>
  <si>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</si>
  <si>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</si>
  <si>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</si>
  <si>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</si>
  <si>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</si>
  <si>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</si>
  <si>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</si>
  <si>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</si>
  <si>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</si>
  <si>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</si>
  <si>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</si>
  <si>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</si>
  <si>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</si>
  <si>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</si>
  <si>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</si>
  <si>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</si>
  <si>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</si>
  <si>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</si>
  <si>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</si>
  <si>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</si>
  <si>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</si>
  <si>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</si>
  <si>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</si>
  <si>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</si>
  <si>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</si>
  <si>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</si>
  <si>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</si>
  <si>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</si>
  <si>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</si>
  <si>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</si>
  <si>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</si>
  <si>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</si>
  <si>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</si>
  <si>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</si>
  <si>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</si>
  <si>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</si>
  <si>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</si>
  <si>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</si>
  <si>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</si>
  <si>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</si>
  <si>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</si>
  <si>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</si>
  <si>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</si>
  <si>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</si>
  <si>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</si>
  <si>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</si>
  <si>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</si>
  <si>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</si>
  <si>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</si>
  <si>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</si>
  <si>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</si>
  <si>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</si>
  <si>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</si>
  <si>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</si>
  <si>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</si>
  <si>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</si>
  <si>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</si>
  <si>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</si>
  <si>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</si>
  <si>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</si>
  <si>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</si>
  <si>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</si>
  <si>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</si>
  <si>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</si>
  <si>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</si>
  <si>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</si>
  <si>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</si>
  <si>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</si>
  <si>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</si>
  <si>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</si>
  <si>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</si>
  <si>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</si>
  <si>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</si>
  <si>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</si>
  <si>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</si>
  <si>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</si>
  <si>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</si>
  <si>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</si>
  <si>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</si>
  <si>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</si>
  <si>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</si>
  <si>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</si>
  <si>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</si>
  <si>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</si>
  <si>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</si>
  <si>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</si>
  <si>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</si>
  <si>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</si>
  <si>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</si>
  <si>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</si>
  <si>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</si>
  <si>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</si>
  <si>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</si>
  <si>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</si>
  <si>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</si>
  <si>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</si>
  <si>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</si>
  <si>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</si>
  <si>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</si>
  <si>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</si>
  <si>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</si>
  <si>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</si>
  <si>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</si>
  <si>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</si>
  <si>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</si>
  <si>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</si>
  <si>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</si>
  <si>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</si>
  <si>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</si>
  <si>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</si>
  <si>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</si>
  <si>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</si>
  <si>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</si>
  <si>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</si>
  <si>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</si>
  <si>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</si>
  <si>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</si>
  <si>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</si>
  <si>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</si>
  <si>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</si>
  <si>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</si>
  <si>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</si>
  <si>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</si>
  <si>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</si>
  <si>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</si>
  <si>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</si>
  <si>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</si>
  <si>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</si>
  <si>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</si>
  <si>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</si>
  <si>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</si>
  <si>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</si>
  <si>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</si>
  <si>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</si>
  <si>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</si>
  <si>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</si>
  <si>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</si>
  <si>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</si>
  <si>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</si>
  <si>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</si>
  <si>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</si>
  <si>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</si>
  <si>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</si>
  <si>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</si>
  <si>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</si>
  <si>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</si>
  <si>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</si>
  <si>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</si>
  <si>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</si>
  <si>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</si>
  <si>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</si>
  <si>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</si>
  <si>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</si>
  <si>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</si>
  <si>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</si>
  <si>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</si>
  <si>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</si>
  <si>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</si>
  <si>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</si>
  <si>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</si>
  <si>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</si>
  <si>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</si>
  <si>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</si>
  <si>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</si>
  <si>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</si>
  <si>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</si>
  <si>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</si>
  <si>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</si>
  <si>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</si>
  <si>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</si>
  <si>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</si>
  <si>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</si>
  <si>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</si>
  <si>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</si>
  <si>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</si>
  <si>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</si>
  <si>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</si>
  <si>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</si>
  <si>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</si>
  <si>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</si>
  <si>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</si>
  <si>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</si>
  <si>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</si>
  <si>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</si>
  <si>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</si>
  <si>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</si>
  <si>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</si>
  <si>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</si>
  <si>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</si>
  <si>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</si>
  <si>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</si>
  <si>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</si>
  <si>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</si>
  <si>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</si>
  <si>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</si>
  <si>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</si>
  <si>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</si>
  <si>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</si>
  <si>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</si>
  <si>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</si>
  <si>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</si>
  <si>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</si>
  <si>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</si>
  <si>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</si>
  <si>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</si>
  <si>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</si>
  <si>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</si>
  <si>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</si>
  <si>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</si>
  <si>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</si>
  <si>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</si>
  <si>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</si>
  <si>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</si>
  <si>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</si>
  <si>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</si>
  <si>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</si>
  <si>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</si>
  <si>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</si>
  <si>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</si>
  <si>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</si>
  <si>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</si>
  <si>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</si>
  <si>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</si>
  <si>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</si>
  <si>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</si>
  <si>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</si>
  <si>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</si>
  <si>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</si>
  <si>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</si>
  <si>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</si>
  <si>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</si>
  <si>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</si>
  <si>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</si>
  <si>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</si>
  <si>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</si>
  <si>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</si>
  <si>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</si>
  <si>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</si>
  <si>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</si>
  <si>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</si>
  <si>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</si>
  <si>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</si>
  <si>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</si>
  <si>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</si>
  <si>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</si>
  <si>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</si>
  <si>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</si>
  <si>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</si>
  <si>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</si>
  <si>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</si>
  <si>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</si>
  <si>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</si>
  <si>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</si>
  <si>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</si>
  <si>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</si>
  <si>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</si>
  <si>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</si>
  <si>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</si>
  <si>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</si>
  <si>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</si>
  <si>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</si>
  <si>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</si>
  <si>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</si>
  <si>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</si>
  <si>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</si>
  <si>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</si>
  <si>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</si>
  <si>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</si>
  <si>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</si>
  <si>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</si>
  <si>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</si>
  <si>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</si>
  <si>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</si>
  <si>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</si>
  <si>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</si>
  <si>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</si>
  <si>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</si>
  <si>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</si>
  <si>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</si>
  <si>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</si>
  <si>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</si>
  <si>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</si>
  <si>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</si>
  <si>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</si>
  <si>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</si>
  <si>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</si>
  <si>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</si>
  <si>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</si>
  <si>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</si>
  <si>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</si>
  <si>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</si>
  <si>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</si>
  <si>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</si>
  <si>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</si>
  <si>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</si>
  <si>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</si>
  <si>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</si>
  <si>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</si>
  <si>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</si>
  <si>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</si>
  <si>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</si>
  <si>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</si>
  <si>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</si>
  <si>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</si>
  <si>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</si>
  <si>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</si>
  <si>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</si>
  <si>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</si>
  <si>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</si>
  <si>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</si>
  <si>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</si>
  <si>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</si>
  <si>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</si>
  <si>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</si>
  <si>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</si>
  <si>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</si>
  <si>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</si>
  <si>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</si>
  <si>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</si>
  <si>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</si>
  <si>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</si>
  <si>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</si>
  <si>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</si>
  <si>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</si>
  <si>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</si>
  <si>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</si>
  <si>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</si>
  <si>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</si>
  <si>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</si>
  <si>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</si>
  <si>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</si>
  <si>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</si>
  <si>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</si>
  <si>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</si>
  <si>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</si>
  <si>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</si>
  <si>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</si>
  <si>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</si>
  <si>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</si>
  <si>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</si>
  <si>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</si>
  <si>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</si>
  <si>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</si>
  <si>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</si>
  <si>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</si>
  <si>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</si>
  <si>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</si>
  <si>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</si>
  <si>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</si>
  <si>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</si>
  <si>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</si>
  <si>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</si>
  <si>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</si>
  <si>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</si>
  <si>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</si>
  <si>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</si>
  <si>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</si>
  <si>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</si>
  <si>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</si>
  <si>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</si>
  <si>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</si>
  <si>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</si>
  <si>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</si>
  <si>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</si>
  <si>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</si>
  <si>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</si>
  <si>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</si>
  <si>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</si>
  <si>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</si>
  <si>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</si>
  <si>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</si>
  <si>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</si>
  <si>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</si>
  <si>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</si>
  <si>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</si>
  <si>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</si>
  <si>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</si>
  <si>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</si>
  <si>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</si>
  <si>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</si>
  <si>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</si>
  <si>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</si>
  <si>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</si>
  <si>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</si>
  <si>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</si>
  <si>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</si>
  <si>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</si>
  <si>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</si>
  <si>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</si>
  <si>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</si>
  <si>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</si>
  <si>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</si>
  <si>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</si>
  <si>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</si>
  <si>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</si>
  <si>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</si>
  <si>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</si>
  <si>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</si>
  <si>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</si>
  <si>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</si>
  <si>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</si>
  <si>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</si>
  <si>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</si>
  <si>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</si>
  <si>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</si>
  <si>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</si>
  <si>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</si>
  <si>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</si>
  <si>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</si>
  <si>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</si>
  <si>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</si>
  <si>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</si>
  <si>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</si>
  <si>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</si>
  <si>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</si>
  <si>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</si>
  <si>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</si>
  <si>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</si>
  <si>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</si>
  <si>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</si>
  <si>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</si>
  <si>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</si>
  <si>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</si>
  <si>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</si>
  <si>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</si>
  <si>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</si>
  <si>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</si>
  <si>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</si>
  <si>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</si>
  <si>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</si>
  <si>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</si>
  <si>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</si>
  <si>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</si>
  <si>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</si>
  <si>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</si>
  <si>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</si>
  <si>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</si>
  <si>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</si>
  <si>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</si>
  <si>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</si>
  <si>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</si>
  <si>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</si>
  <si>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</si>
  <si>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</si>
  <si>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</si>
  <si>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</si>
  <si>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</si>
  <si>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</si>
  <si>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</si>
  <si>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</si>
  <si>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</si>
  <si>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</si>
  <si>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</si>
  <si>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</si>
  <si>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</si>
  <si>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</si>
  <si>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</si>
  <si>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</si>
  <si>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</si>
  <si>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</si>
  <si>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</si>
  <si>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</si>
  <si>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</si>
  <si>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</si>
  <si>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</si>
  <si>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</si>
  <si>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</si>
  <si>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</si>
  <si>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</si>
  <si>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</si>
  <si>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</si>
  <si>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</si>
  <si>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</si>
  <si>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</si>
  <si>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</si>
  <si>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</si>
  <si>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</si>
  <si>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</si>
  <si>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</si>
  <si>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</si>
  <si>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</si>
  <si>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</si>
  <si>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</si>
  <si>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</si>
  <si>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</si>
  <si>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</si>
  <si>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</si>
  <si>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</si>
  <si>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</si>
  <si>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</si>
  <si>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</si>
  <si>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</si>
  <si>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</si>
  <si>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</si>
  <si>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</si>
  <si>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</si>
  <si>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</si>
  <si>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</si>
  <si>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</si>
  <si>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</si>
  <si>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</si>
  <si>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</si>
  <si>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</si>
  <si>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</si>
  <si>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</si>
  <si>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</si>
  <si>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</si>
  <si>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</si>
  <si>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</si>
  <si>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</si>
  <si>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</si>
  <si>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</si>
  <si>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</si>
  <si>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</si>
  <si>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</si>
  <si>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</si>
  <si>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</si>
  <si>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</si>
  <si>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</si>
  <si>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</si>
  <si>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</si>
  <si>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</si>
  <si>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</si>
  <si>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</si>
  <si>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</si>
  <si>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</si>
  <si>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</si>
  <si>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</si>
  <si>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</si>
  <si>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</si>
  <si>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</si>
  <si>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</si>
  <si>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</si>
  <si>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</si>
  <si>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</si>
  <si>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</si>
  <si>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</si>
  <si>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</si>
  <si>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</si>
  <si>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</si>
  <si>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</si>
  <si>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</si>
  <si>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</si>
  <si>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</si>
  <si>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</si>
  <si>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</si>
  <si>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</si>
  <si>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</si>
  <si>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</si>
  <si>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</si>
  <si>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</si>
  <si>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</si>
  <si>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</si>
  <si>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</si>
  <si>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</si>
  <si>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</si>
  <si>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</si>
  <si>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</si>
  <si>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</si>
  <si>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</si>
  <si>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</si>
  <si>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</si>
  <si>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</si>
  <si>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</si>
  <si>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</si>
  <si>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</si>
  <si>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</si>
  <si>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</si>
  <si>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</si>
  <si>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</si>
  <si>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</si>
  <si>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</si>
  <si>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</si>
  <si>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</si>
  <si>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</si>
  <si>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</si>
  <si>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</si>
  <si>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</si>
  <si>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</si>
  <si>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</si>
  <si>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</si>
  <si>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</si>
  <si>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</si>
  <si>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</si>
  <si>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</si>
  <si>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</si>
  <si>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</si>
  <si>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</si>
  <si>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</si>
  <si>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</si>
  <si>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</si>
  <si>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</si>
  <si>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</si>
  <si>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</si>
  <si>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</si>
  <si>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</si>
  <si>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</si>
  <si>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</si>
  <si>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</si>
  <si>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</si>
  <si>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</si>
  <si>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</si>
  <si>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</si>
  <si>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</si>
  <si>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</si>
  <si>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</si>
  <si>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</si>
  <si>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</si>
  <si>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</si>
  <si>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</si>
  <si>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</si>
  <si>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</si>
  <si>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</si>
  <si>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</si>
  <si>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</si>
  <si>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</si>
  <si>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</si>
  <si>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</si>
  <si>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</si>
  <si>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</si>
  <si>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</si>
  <si>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</si>
  <si>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</si>
  <si>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</si>
  <si>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</si>
  <si>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</si>
  <si>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</si>
  <si>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</si>
  <si>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</si>
  <si>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</si>
  <si>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</si>
  <si>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</si>
  <si>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</si>
  <si>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</si>
  <si>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</si>
  <si>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</si>
  <si>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</si>
  <si>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</si>
  <si>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</si>
  <si>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</si>
  <si>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</si>
  <si>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</si>
  <si>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</si>
  <si>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</si>
  <si>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</si>
  <si>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</si>
  <si>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</si>
  <si>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</si>
  <si>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</si>
  <si>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</si>
  <si>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</si>
  <si>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</si>
  <si>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</si>
  <si>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</si>
  <si>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</si>
  <si>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</si>
  <si>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</si>
  <si>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</si>
  <si>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</si>
  <si>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</si>
  <si>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</si>
  <si>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</si>
  <si>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</si>
  <si>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</si>
  <si>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</si>
  <si>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</si>
  <si>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</si>
  <si>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</si>
  <si>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</si>
  <si>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</si>
  <si>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</si>
  <si>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</si>
  <si>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</si>
  <si>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</si>
  <si>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</si>
  <si>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</si>
  <si>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</si>
  <si>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</si>
  <si>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</si>
  <si>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</si>
  <si>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</si>
  <si>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</si>
  <si>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</si>
  <si>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</si>
  <si>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</si>
  <si>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</si>
  <si>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</si>
  <si>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</si>
  <si>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</si>
  <si>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</si>
  <si>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</si>
  <si>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</si>
  <si>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</si>
  <si>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</si>
  <si>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</si>
  <si>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</si>
  <si>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</si>
  <si>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</si>
  <si>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</si>
  <si>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</si>
  <si>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</si>
  <si>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</si>
  <si>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</si>
  <si>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</si>
  <si>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</si>
  <si>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</si>
  <si>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</si>
  <si>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</si>
  <si>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</si>
  <si>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</si>
  <si>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</si>
  <si>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</si>
  <si>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</si>
  <si>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</si>
  <si>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</si>
  <si>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</si>
  <si>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</si>
  <si>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</si>
  <si>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</si>
  <si>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</si>
  <si>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</si>
  <si>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</si>
  <si>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</si>
  <si>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</si>
  <si>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</si>
  <si>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</si>
  <si>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</si>
  <si>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</si>
  <si>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</si>
  <si>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</si>
  <si>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</si>
  <si>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</si>
  <si>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</si>
  <si>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</si>
  <si>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</si>
  <si>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</si>
  <si>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</si>
  <si>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</si>
  <si>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</si>
  <si>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</si>
  <si>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</si>
  <si>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</si>
  <si>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</si>
  <si>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</si>
  <si>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</si>
  <si>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</si>
  <si>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</si>
  <si>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</si>
  <si>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</si>
  <si>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</si>
  <si>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</si>
  <si>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</si>
  <si>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</si>
  <si>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</si>
  <si>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</si>
  <si>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</si>
  <si>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</si>
  <si>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</si>
  <si>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</si>
  <si>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</si>
  <si>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</si>
  <si>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</si>
  <si>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</si>
  <si>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</si>
  <si>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</si>
  <si>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</si>
  <si>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</si>
  <si>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</si>
  <si>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</si>
  <si>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</si>
  <si>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</si>
  <si>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</si>
  <si>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</si>
  <si>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</si>
  <si>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</si>
  <si>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</si>
  <si>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</si>
  <si>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</si>
  <si>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</si>
  <si>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</si>
  <si>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</si>
  <si>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</si>
  <si>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</si>
  <si>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</si>
  <si>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</si>
  <si>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</si>
  <si>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</si>
  <si>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</si>
  <si>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</si>
  <si>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</si>
  <si>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</si>
  <si>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</si>
  <si>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</si>
  <si>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</si>
  <si>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</si>
  <si>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</si>
  <si>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</si>
  <si>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</si>
  <si>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</si>
  <si>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</si>
  <si>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</si>
  <si>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</si>
  <si>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</si>
  <si>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</si>
  <si>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</si>
  <si>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</si>
  <si>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</si>
  <si>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</si>
  <si>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</si>
  <si>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</si>
  <si>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</si>
  <si>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</si>
  <si>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</si>
  <si>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</si>
  <si>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</si>
  <si>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</si>
  <si>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</si>
  <si>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</si>
  <si>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</si>
  <si>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</si>
  <si>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</si>
  <si>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</si>
  <si>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</si>
  <si>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</si>
  <si>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</si>
  <si>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</si>
  <si>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</si>
  <si>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</si>
  <si>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</si>
  <si>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</si>
  <si>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</si>
  <si>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</si>
  <si>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</si>
  <si>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</si>
  <si>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</si>
  <si>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</si>
  <si>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</si>
  <si>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</si>
  <si>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</si>
  <si>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</si>
  <si>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</si>
  <si>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</si>
  <si>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</si>
  <si>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</si>
  <si>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</si>
  <si>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</si>
  <si>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</si>
  <si>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</si>
  <si>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</si>
  <si>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</si>
  <si>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</si>
  <si>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</si>
  <si>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</si>
  <si>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</si>
  <si>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</si>
  <si>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</si>
  <si>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</si>
  <si>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</si>
  <si>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</si>
  <si>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</si>
  <si>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</si>
  <si>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</si>
  <si>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</si>
  <si>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</si>
  <si>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</si>
  <si>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</si>
  <si>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</si>
  <si>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</si>
  <si>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</si>
  <si>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</si>
  <si>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</si>
  <si>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</si>
  <si>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</si>
  <si>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</si>
  <si>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</si>
  <si>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</si>
  <si>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</si>
  <si>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</si>
  <si>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</si>
  <si>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</si>
  <si>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</si>
  <si>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</si>
  <si>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</si>
  <si>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</si>
  <si>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</si>
  <si>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</si>
  <si>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</si>
  <si>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</si>
  <si>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</si>
  <si>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</si>
  <si>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</si>
  <si>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</si>
  <si>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</si>
  <si>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</si>
  <si>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</si>
  <si>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</si>
  <si>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</si>
  <si>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</si>
  <si>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</si>
  <si>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</si>
  <si>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</si>
  <si>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</si>
  <si>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</si>
  <si>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</si>
  <si>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</si>
  <si>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</si>
  <si>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</si>
  <si>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</si>
  <si>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</si>
  <si>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</si>
  <si>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</si>
  <si>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</si>
  <si>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</si>
  <si>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</si>
  <si>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</si>
  <si>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</si>
  <si>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</si>
  <si>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</si>
  <si>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</si>
  <si>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</si>
  <si>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</si>
  <si>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</si>
  <si>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</si>
  <si>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</si>
  <si>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</si>
  <si>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</si>
  <si>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</si>
  <si>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</si>
  <si>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</si>
  <si>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</si>
  <si>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</si>
  <si>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</si>
  <si>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</si>
  <si>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</si>
  <si>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</si>
  <si>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</si>
  <si>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</si>
  <si>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</si>
  <si>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</si>
  <si>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</si>
  <si>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</si>
  <si>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</si>
  <si>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</si>
  <si>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</si>
  <si>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</si>
  <si>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</si>
  <si>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</si>
  <si>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</si>
  <si>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</si>
  <si>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</si>
  <si>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</si>
  <si>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</si>
  <si>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</si>
  <si>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</si>
  <si>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</si>
  <si>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</si>
  <si>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</si>
  <si>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</si>
  <si>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</si>
  <si>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</si>
  <si>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</si>
  <si>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</si>
  <si>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</si>
  <si>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</si>
  <si>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</si>
  <si>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</si>
  <si>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</si>
  <si>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</si>
  <si>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</si>
  <si>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</si>
  <si>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</si>
  <si>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</si>
  <si>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</si>
  <si>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</si>
  <si>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</si>
  <si>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</si>
  <si>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</si>
  <si>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</si>
  <si>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</si>
  <si>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</si>
  <si>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</si>
  <si>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</si>
  <si>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</si>
  <si>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</si>
  <si>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</si>
  <si>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</si>
  <si>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</si>
  <si>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</si>
  <si>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</si>
  <si>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</si>
  <si>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</si>
  <si>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</si>
  <si>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</si>
  <si>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</si>
  <si>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</si>
  <si>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</si>
  <si>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</si>
  <si>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</si>
  <si>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</si>
  <si>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</si>
  <si>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</si>
  <si>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</si>
  <si>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</si>
  <si>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</si>
  <si>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</si>
  <si>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</si>
  <si>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</si>
  <si>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</si>
  <si>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</si>
  <si>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</si>
  <si>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</si>
  <si>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</si>
  <si>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</si>
  <si>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</si>
  <si>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</si>
  <si>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</si>
  <si>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</si>
  <si>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</si>
  <si>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</si>
  <si>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</si>
  <si>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</si>
  <si>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</si>
  <si>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</si>
  <si>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</si>
  <si>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</si>
  <si>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</si>
  <si>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</si>
  <si>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</si>
  <si>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</si>
  <si>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</si>
  <si>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</si>
  <si>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</si>
  <si>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</si>
  <si>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</si>
  <si>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</si>
  <si>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</si>
  <si>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</si>
  <si>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</si>
  <si>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</si>
  <si>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</si>
  <si>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</si>
  <si>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</si>
  <si>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</si>
  <si>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</si>
  <si>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</si>
  <si>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</si>
  <si>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</si>
  <si>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</si>
  <si>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</si>
  <si>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</si>
  <si>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</si>
  <si>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</si>
  <si>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</si>
  <si>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</si>
  <si>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</si>
  <si>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</si>
  <si>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</si>
  <si>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</si>
  <si>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</si>
  <si>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</si>
  <si>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</si>
  <si>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</si>
  <si>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</si>
  <si>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</si>
  <si>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</si>
  <si>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</si>
  <si>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</si>
  <si>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</si>
  <si>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</si>
  <si>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</si>
  <si>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</si>
  <si>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</si>
  <si>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</si>
  <si>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</si>
  <si>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</si>
  <si>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</si>
  <si>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</si>
  <si>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</si>
  <si>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</si>
  <si>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</si>
  <si>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</si>
  <si>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</si>
  <si>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</si>
  <si>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</si>
  <si>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</si>
  <si>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</si>
  <si>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</si>
  <si>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</si>
  <si>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</si>
  <si>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</si>
  <si>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</si>
  <si>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</si>
  <si>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</si>
  <si>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</si>
  <si>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</si>
  <si>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</si>
  <si>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</si>
  <si>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</si>
  <si>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</si>
  <si>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</si>
  <si>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</si>
  <si>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</si>
  <si>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</si>
  <si>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</si>
  <si>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</si>
  <si>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</si>
  <si>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</si>
  <si>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</si>
  <si>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</si>
  <si>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</si>
  <si>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</si>
  <si>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</si>
  <si>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</si>
  <si>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</si>
  <si>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</si>
  <si>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</si>
  <si>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</si>
  <si>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</si>
  <si>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</si>
  <si>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</si>
  <si>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</si>
  <si>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</si>
  <si>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</si>
  <si>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</si>
  <si>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</si>
  <si>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</si>
  <si>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</si>
  <si>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</si>
  <si>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</si>
  <si>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</si>
  <si>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</si>
  <si>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</si>
  <si>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</si>
  <si>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</si>
  <si>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</si>
  <si>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</si>
  <si>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</si>
  <si>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</si>
  <si>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</si>
  <si>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</si>
  <si>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</si>
  <si>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</si>
  <si>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</si>
  <si>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</si>
  <si>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</si>
  <si>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</si>
  <si>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</si>
  <si>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</si>
  <si>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</si>
  <si>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</si>
  <si>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</si>
  <si>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</si>
  <si>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</si>
  <si>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</si>
  <si>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</si>
  <si>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</si>
  <si>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</si>
  <si>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</si>
  <si>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</si>
  <si>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</si>
  <si>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</si>
  <si>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</si>
  <si>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</si>
  <si>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</si>
  <si>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</si>
  <si>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</si>
  <si>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</si>
  <si>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</si>
  <si>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</si>
  <si>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</si>
  <si>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</si>
  <si>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</si>
  <si>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</si>
  <si>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</si>
  <si>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</si>
  <si>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</si>
  <si>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</si>
  <si>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</si>
  <si>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</si>
  <si>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</si>
  <si>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</si>
  <si>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</si>
  <si>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</si>
  <si>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</si>
  <si>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</si>
  <si>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</si>
  <si>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</si>
  <si>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</si>
  <si>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</si>
  <si>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</si>
  <si>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</si>
  <si>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</si>
  <si>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</si>
  <si>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</si>
  <si>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</si>
  <si>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</si>
  <si>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</si>
  <si>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</si>
  <si>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</si>
  <si>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</si>
  <si>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</si>
  <si>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</si>
  <si>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</si>
  <si>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</si>
  <si>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</si>
  <si>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</si>
  <si>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</si>
  <si>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</si>
  <si>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</si>
  <si>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</si>
  <si>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</si>
  <si>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</si>
  <si>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</si>
  <si>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</si>
  <si>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</si>
  <si>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</si>
  <si>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</si>
  <si>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</si>
  <si>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</si>
  <si>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</si>
  <si>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</si>
  <si>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</si>
  <si>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</si>
  <si>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</si>
  <si>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</si>
  <si>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</si>
  <si>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</si>
  <si>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</si>
  <si>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</si>
  <si>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</si>
  <si>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</si>
  <si>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</si>
  <si>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</si>
  <si>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</si>
  <si>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</si>
  <si>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</si>
  <si>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</si>
  <si>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</si>
  <si>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</si>
  <si>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</si>
  <si>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</si>
  <si>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</si>
  <si>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</si>
  <si>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</si>
  <si>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</si>
  <si>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</si>
  <si>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</si>
  <si>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</si>
  <si>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</si>
  <si>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</si>
  <si>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</si>
  <si>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</si>
  <si>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</si>
  <si>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</si>
  <si>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</si>
  <si>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</si>
  <si>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</si>
  <si>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</si>
  <si>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</si>
  <si>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</si>
  <si>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</si>
  <si>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</si>
  <si>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</si>
  <si>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</si>
  <si>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</si>
  <si>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</si>
  <si>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</si>
  <si>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</si>
  <si>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</si>
  <si>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</si>
  <si>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</si>
  <si>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</si>
  <si>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</si>
  <si>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</si>
  <si>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</si>
  <si>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</si>
  <si>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</si>
  <si>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</si>
  <si>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</si>
  <si>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</si>
  <si>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</si>
  <si>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</si>
  <si>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</si>
  <si>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</si>
  <si>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</si>
  <si>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</si>
  <si>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</si>
  <si>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</si>
  <si>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</si>
  <si>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</si>
  <si>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</si>
  <si>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</si>
  <si>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</si>
  <si>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</si>
  <si>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</si>
  <si>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</si>
  <si>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</si>
  <si>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</si>
  <si>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</si>
  <si>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</si>
  <si>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</si>
  <si>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</si>
  <si>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</si>
  <si>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</si>
  <si>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</si>
  <si>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</si>
  <si>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</si>
  <si>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</si>
  <si>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</si>
  <si>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</si>
  <si>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</si>
  <si>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</si>
  <si>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</si>
  <si>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</si>
  <si>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</si>
  <si>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</si>
  <si>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</si>
  <si>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</si>
  <si>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</si>
  <si>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</si>
  <si>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</si>
  <si>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</si>
  <si>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</si>
  <si>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</si>
  <si>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</si>
  <si>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</si>
  <si>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</si>
  <si>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</si>
  <si>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</si>
  <si>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</si>
  <si>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</si>
  <si>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</si>
  <si>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</si>
  <si>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</si>
  <si>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</si>
  <si>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</si>
  <si>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</si>
  <si>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</si>
  <si>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</si>
  <si>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</si>
  <si>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</si>
  <si>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</si>
  <si>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</si>
  <si>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</si>
  <si>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</si>
  <si>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</si>
  <si>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</si>
  <si>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</si>
  <si>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</si>
  <si>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</si>
  <si>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</si>
  <si>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</si>
  <si>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</si>
  <si>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</si>
  <si>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</si>
  <si>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</si>
  <si>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</si>
  <si>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</si>
  <si>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</si>
  <si>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</si>
  <si>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</si>
  <si>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</si>
  <si>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</si>
  <si>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</si>
  <si>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</si>
  <si>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</si>
  <si>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</si>
  <si>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</si>
  <si>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</si>
  <si>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</si>
  <si>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</si>
  <si>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</si>
  <si>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</si>
  <si>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</si>
  <si>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</si>
  <si>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</si>
  <si>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</si>
  <si>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</si>
  <si>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</si>
  <si>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</si>
  <si>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</si>
  <si>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</si>
  <si>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</si>
  <si>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</si>
  <si>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</si>
  <si>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</si>
  <si>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</si>
  <si>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</si>
  <si>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</si>
  <si>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</si>
  <si>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</si>
  <si>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</si>
  <si>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</si>
  <si>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</si>
  <si>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</si>
  <si>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</si>
  <si>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</si>
  <si>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</si>
  <si>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</si>
  <si>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</si>
  <si>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</si>
  <si>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</si>
  <si>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</si>
  <si>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</si>
  <si>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</si>
  <si>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</si>
  <si>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</si>
  <si>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</si>
  <si>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</si>
  <si>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</si>
  <si>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</si>
  <si>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</si>
  <si>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</si>
  <si>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</si>
  <si>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</si>
  <si>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</si>
  <si>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</si>
  <si>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</si>
  <si>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</si>
  <si>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</si>
  <si>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</si>
  <si>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</si>
  <si>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</si>
  <si>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</si>
  <si>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</si>
  <si>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</si>
  <si>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</si>
  <si>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</si>
  <si>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</si>
  <si>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</si>
  <si>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</si>
  <si>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</si>
  <si>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</si>
  <si>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</si>
  <si>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</si>
  <si>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</si>
  <si>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</si>
  <si>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</si>
  <si>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</si>
  <si>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</si>
  <si>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</si>
  <si>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</si>
  <si>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</si>
  <si>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</si>
  <si>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</si>
  <si>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</si>
  <si>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</si>
  <si>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</si>
  <si>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</si>
  <si>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</si>
  <si>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</si>
  <si>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</si>
  <si>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</si>
  <si>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</si>
  <si>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</si>
  <si>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</si>
  <si>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</si>
  <si>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</si>
  <si>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</si>
  <si>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</si>
  <si>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</si>
  <si>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</si>
  <si>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</si>
  <si>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</si>
  <si>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</si>
  <si>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</si>
  <si>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</si>
  <si>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</si>
  <si>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</si>
  <si>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</si>
  <si>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</si>
  <si>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</si>
  <si>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</si>
  <si>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</si>
  <si>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</si>
  <si>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</si>
  <si>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</si>
  <si>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</si>
  <si>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</si>
  <si>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</si>
  <si>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</si>
  <si>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</si>
  <si>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</si>
  <si>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</si>
  <si>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</si>
  <si>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</si>
  <si>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</si>
  <si>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</si>
  <si>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</si>
  <si>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</si>
  <si>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</si>
  <si>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</si>
  <si>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</si>
  <si>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</si>
  <si>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</si>
  <si>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</si>
  <si>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</si>
  <si>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</si>
  <si>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</si>
  <si>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</si>
  <si>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</si>
  <si>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</si>
  <si>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</si>
  <si>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</si>
  <si>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</si>
  <si>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</si>
  <si>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</si>
  <si>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</si>
  <si>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</si>
  <si>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</si>
  <si>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</si>
  <si>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</si>
  <si>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</si>
  <si>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</si>
  <si>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</si>
  <si>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</si>
  <si>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</si>
  <si>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</si>
  <si>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</si>
  <si>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</si>
  <si>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</si>
  <si>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</si>
  <si>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</si>
  <si>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</si>
  <si>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</si>
  <si>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</si>
  <si>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</si>
  <si>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</si>
  <si>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</si>
  <si>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</si>
  <si>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</si>
  <si>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</si>
  <si>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</si>
  <si>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</si>
  <si>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</si>
  <si>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</si>
  <si>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</si>
  <si>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</si>
  <si>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</si>
  <si>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</si>
  <si>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</si>
  <si>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</si>
  <si>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</si>
  <si>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</si>
  <si>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</si>
  <si>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</si>
  <si>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</si>
  <si>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</si>
  <si>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</si>
  <si>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</si>
  <si>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</si>
  <si>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</si>
  <si>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</si>
  <si>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</si>
  <si>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</si>
  <si>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</si>
  <si>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</si>
  <si>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</si>
  <si>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</si>
  <si>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</si>
  <si>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</si>
  <si>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</si>
  <si>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</si>
  <si>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</si>
  <si>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</si>
  <si>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</si>
  <si>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</si>
  <si>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</si>
  <si>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</si>
  <si>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</si>
  <si>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</si>
  <si>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</si>
  <si>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</si>
  <si>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</si>
  <si>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</si>
  <si>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</si>
  <si>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</si>
  <si>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</si>
  <si>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</si>
  <si>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</si>
  <si>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</si>
  <si>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</si>
  <si>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</si>
  <si>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</si>
  <si>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</si>
  <si>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</si>
  <si>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</si>
  <si>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</si>
  <si>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</si>
  <si>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</si>
  <si>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</si>
  <si>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</si>
  <si>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</si>
  <si>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</si>
  <si>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</si>
  <si>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</si>
  <si>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</si>
  <si>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</si>
  <si>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</si>
  <si>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</si>
  <si>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</si>
  <si>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</si>
  <si>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</si>
  <si>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</si>
  <si>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</si>
  <si>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</si>
  <si>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</si>
  <si>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</si>
  <si>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</si>
  <si>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</si>
  <si>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</si>
  <si>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</si>
  <si>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</si>
  <si>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</si>
  <si>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</si>
  <si>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</si>
  <si>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</si>
  <si>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</si>
  <si>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</si>
  <si>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</si>
  <si>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</si>
  <si>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</si>
  <si>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</si>
  <si>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</si>
  <si>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</si>
  <si>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</si>
  <si>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</si>
  <si>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</si>
  <si>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</si>
  <si>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</si>
  <si>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</si>
  <si>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</si>
  <si>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</si>
  <si>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</si>
  <si>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</si>
  <si>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</si>
  <si>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</si>
  <si>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</si>
  <si>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</si>
  <si>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</si>
  <si>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</si>
  <si>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</si>
  <si>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</si>
  <si>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</si>
  <si>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</si>
  <si>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</si>
  <si>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</si>
  <si>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</si>
  <si>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</si>
  <si>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</si>
  <si>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</si>
  <si>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</si>
  <si>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</si>
  <si>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</si>
  <si>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</si>
  <si>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</si>
  <si>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</si>
  <si>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</si>
  <si>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</si>
  <si>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</si>
  <si>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</si>
  <si>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</si>
  <si>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</si>
  <si>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</si>
  <si>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</si>
  <si>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</si>
  <si>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</si>
  <si>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</si>
  <si>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</si>
  <si>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</si>
  <si>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</si>
  <si>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</si>
  <si>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</si>
  <si>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</si>
  <si>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</si>
  <si>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</si>
  <si>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</si>
  <si>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</si>
  <si>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</si>
  <si>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</si>
  <si>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</si>
  <si>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</si>
  <si>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</si>
  <si>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</si>
  <si>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</si>
  <si>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</si>
  <si>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</si>
  <si>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</si>
  <si>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</si>
  <si>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</si>
  <si>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</si>
  <si>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</si>
  <si>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</si>
  <si>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</si>
  <si>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</si>
  <si>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</si>
  <si>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</si>
  <si>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</si>
  <si>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</si>
  <si>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</si>
  <si>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</si>
  <si>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</si>
  <si>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</si>
  <si>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</si>
  <si>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</si>
  <si>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</si>
  <si>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</si>
  <si>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</si>
  <si>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</si>
  <si>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</si>
  <si>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</si>
  <si>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</si>
  <si>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</si>
  <si>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</si>
  <si>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</si>
  <si>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</si>
  <si>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</si>
  <si>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</si>
  <si>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</si>
  <si>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</si>
  <si>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</si>
  <si>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</si>
  <si>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</si>
  <si>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</si>
  <si>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</si>
  <si>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</si>
  <si>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</si>
  <si>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</si>
  <si>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</si>
  <si>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</si>
  <si>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</si>
  <si>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</si>
  <si>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</si>
  <si>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</si>
  <si>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</si>
  <si>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</si>
  <si>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</si>
  <si>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</si>
  <si>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</si>
  <si>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</si>
  <si>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</si>
  <si>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</si>
  <si>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</si>
  <si>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</si>
  <si>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</si>
  <si>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</si>
  <si>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</si>
  <si>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</si>
  <si>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</si>
  <si>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</si>
  <si>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</si>
  <si>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</si>
  <si>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</si>
  <si>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</si>
  <si>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</si>
  <si>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</si>
  <si>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</si>
  <si>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</si>
  <si>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</si>
  <si>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</si>
  <si>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</si>
  <si>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</si>
  <si>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</si>
  <si>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</si>
  <si>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</si>
  <si>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</si>
  <si>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</si>
  <si>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</si>
  <si>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</si>
  <si>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</si>
  <si>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</si>
  <si>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</si>
  <si>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</si>
  <si>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</si>
  <si>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</si>
  <si>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</si>
  <si>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</si>
  <si>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</si>
  <si>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</si>
  <si>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</si>
  <si>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</si>
  <si>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</si>
  <si>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</si>
  <si>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</si>
  <si>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</si>
  <si>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</si>
  <si>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</si>
  <si>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</si>
  <si>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</si>
  <si>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</si>
  <si>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</si>
  <si>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</si>
  <si>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</si>
  <si>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</si>
  <si>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</si>
  <si>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</si>
  <si>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</si>
  <si>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</si>
  <si>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</si>
  <si>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</si>
  <si>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</si>
  <si>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</si>
  <si>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</si>
  <si>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</si>
  <si>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</si>
  <si>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</si>
  <si>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</si>
  <si>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</si>
  <si>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</si>
  <si>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</si>
  <si>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</si>
  <si>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</si>
  <si>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</si>
  <si>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</si>
  <si>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</si>
  <si>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</si>
  <si>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</si>
  <si>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</si>
  <si>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</si>
  <si>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</si>
  <si>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</si>
  <si>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</si>
  <si>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</si>
  <si>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</si>
  <si>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</si>
  <si>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</si>
  <si>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</si>
  <si>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</si>
  <si>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</si>
  <si>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</si>
  <si>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</si>
  <si>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</si>
  <si>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</si>
  <si>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</si>
  <si>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</si>
  <si>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</si>
  <si>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</si>
  <si>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</si>
  <si>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</si>
  <si>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</si>
  <si>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</si>
  <si>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</si>
  <si>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</si>
  <si>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</si>
  <si>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</si>
  <si>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</si>
  <si>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</si>
  <si>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</si>
  <si>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</si>
  <si>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</si>
  <si>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</si>
  <si>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</si>
  <si>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</si>
  <si>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</si>
  <si>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</si>
  <si>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</si>
  <si>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</si>
  <si>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</si>
  <si>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</si>
  <si>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</si>
  <si>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</si>
  <si>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</si>
  <si>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</si>
  <si>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</si>
  <si>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</si>
  <si>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</si>
  <si>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</si>
  <si>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</si>
  <si>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</si>
  <si>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</si>
  <si>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</si>
  <si>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</si>
  <si>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</si>
  <si>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</si>
  <si>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</si>
  <si>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</si>
  <si>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</si>
  <si>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</si>
  <si>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</si>
  <si>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</si>
  <si>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</si>
  <si>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</si>
  <si>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</si>
  <si>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</si>
  <si>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</si>
  <si>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</si>
  <si>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</si>
  <si>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</si>
  <si>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</si>
  <si>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</si>
  <si>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</si>
  <si>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</si>
  <si>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</si>
  <si>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</si>
  <si>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</si>
  <si>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</si>
  <si>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</si>
  <si>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</si>
  <si>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</si>
  <si>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</si>
  <si>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</si>
  <si>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</si>
  <si>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</si>
  <si>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</si>
  <si>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</si>
  <si>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</si>
  <si>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</si>
  <si>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</si>
  <si>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</si>
  <si>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</si>
  <si>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</si>
  <si>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</si>
  <si>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</si>
  <si>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</si>
  <si>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</si>
  <si>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</si>
  <si>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</si>
  <si>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</si>
  <si>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</si>
  <si>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</si>
  <si>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</si>
  <si>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</si>
  <si>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</si>
  <si>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</si>
  <si>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</si>
  <si>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</si>
  <si>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</si>
  <si>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</si>
  <si>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</si>
  <si>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</si>
  <si>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</si>
  <si>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</si>
  <si>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</si>
  <si>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</si>
  <si>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</si>
  <si>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</si>
  <si>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</si>
  <si>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</si>
  <si>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</si>
  <si>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</si>
  <si>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</si>
  <si>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</si>
  <si>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</si>
  <si>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</si>
  <si>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</si>
  <si>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</si>
  <si>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</si>
  <si>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</si>
  <si>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</si>
  <si>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</si>
  <si>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</si>
  <si>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</si>
  <si>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</si>
  <si>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</si>
  <si>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</si>
  <si>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</si>
  <si>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</si>
  <si>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</si>
  <si>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</si>
  <si>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</si>
  <si>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</si>
  <si>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</si>
  <si>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</si>
  <si>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</si>
  <si>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</si>
  <si>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</si>
  <si>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</si>
  <si>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</si>
  <si>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</si>
  <si>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</si>
  <si>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</si>
  <si>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</si>
  <si>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</si>
  <si>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</si>
  <si>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</si>
  <si>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</si>
  <si>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</si>
  <si>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</si>
  <si>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</si>
  <si>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</si>
  <si>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</si>
  <si>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</si>
  <si>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</si>
  <si>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</si>
  <si>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</si>
  <si>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</si>
  <si>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</si>
  <si>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</si>
  <si>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</si>
  <si>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</si>
  <si>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</si>
  <si>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</si>
  <si>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</si>
  <si>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</si>
  <si>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</si>
  <si>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</si>
  <si>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</si>
  <si>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</si>
  <si>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</si>
  <si>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</si>
  <si>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</si>
  <si>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</si>
  <si>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</si>
  <si>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</si>
  <si>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</si>
  <si>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</si>
  <si>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</si>
  <si>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</si>
  <si>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</si>
  <si>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</si>
  <si>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</si>
  <si>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</si>
  <si>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</si>
  <si>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</si>
  <si>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</si>
  <si>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</si>
  <si>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</si>
  <si>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</si>
  <si>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</si>
  <si>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</si>
  <si>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</si>
  <si>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</si>
  <si>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</si>
  <si>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</si>
  <si>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</si>
  <si>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</si>
  <si>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</si>
  <si>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</si>
  <si>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</si>
  <si>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</si>
  <si>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</si>
  <si>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</si>
  <si>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</si>
  <si>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</si>
  <si>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</si>
  <si>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</si>
  <si>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</si>
  <si>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</si>
  <si>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</si>
  <si>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</si>
  <si>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</si>
  <si>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</si>
  <si>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</si>
  <si>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</si>
  <si>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</si>
  <si>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</si>
  <si>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</si>
  <si>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</si>
  <si>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</si>
  <si>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</si>
  <si>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</si>
  <si>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</si>
  <si>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</si>
  <si>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</si>
  <si>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</si>
  <si>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</si>
  <si>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</si>
  <si>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</si>
  <si>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</si>
  <si>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</si>
  <si>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</si>
  <si>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</si>
  <si>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</si>
  <si>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</si>
  <si>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</si>
  <si>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</si>
  <si>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</si>
  <si>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</si>
  <si>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</si>
  <si>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</si>
  <si>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</si>
  <si>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</si>
  <si>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</si>
  <si>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</si>
  <si>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</si>
  <si>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</si>
  <si>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</si>
  <si>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</si>
  <si>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</si>
  <si>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</si>
  <si>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</si>
  <si>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</si>
  <si>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</si>
  <si>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</si>
  <si>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</si>
  <si>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</si>
  <si>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</si>
  <si>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</si>
  <si>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</si>
  <si>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</si>
  <si>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</si>
  <si>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</si>
  <si>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</si>
  <si>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</si>
  <si>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</si>
  <si>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</si>
  <si>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</si>
  <si>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</si>
  <si>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</si>
  <si>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</si>
  <si>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</si>
  <si>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</si>
  <si>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</si>
  <si>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</si>
  <si>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</si>
  <si>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</si>
  <si>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</si>
  <si>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</si>
  <si>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</si>
  <si>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</si>
  <si>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</si>
  <si>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</si>
  <si>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</si>
  <si>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</si>
  <si>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</si>
  <si>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</si>
  <si>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</si>
  <si>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</si>
  <si>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</si>
  <si>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</si>
  <si>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</si>
  <si>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</si>
  <si>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</si>
  <si>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</si>
  <si>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</si>
  <si>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</si>
  <si>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</si>
  <si>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</si>
  <si>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</si>
  <si>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</si>
  <si>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</si>
  <si>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</si>
  <si>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</si>
  <si>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</si>
  <si>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</si>
  <si>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</si>
  <si>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</si>
  <si>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</si>
  <si>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</si>
  <si>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</si>
  <si>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</si>
  <si>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</si>
  <si>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</si>
  <si>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</si>
  <si>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</si>
  <si>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</si>
  <si>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</si>
  <si>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</si>
  <si>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</si>
  <si>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</si>
  <si>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</si>
  <si>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</si>
  <si>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</si>
  <si>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</si>
  <si>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</si>
  <si>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</si>
  <si>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</si>
  <si>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</si>
  <si>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</si>
  <si>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</si>
  <si>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</si>
  <si>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</si>
  <si>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</si>
  <si>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</si>
  <si>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</si>
  <si>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</si>
  <si>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</si>
  <si>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</si>
  <si>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</si>
  <si>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</si>
  <si>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</si>
  <si>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</si>
  <si>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</si>
  <si>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</si>
  <si>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</si>
  <si>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</si>
  <si>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</si>
  <si>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</si>
  <si>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</si>
  <si>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</si>
  <si>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</si>
  <si>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</si>
  <si>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</si>
  <si>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</si>
  <si>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</si>
  <si>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</si>
  <si>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</si>
  <si>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</si>
  <si>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</si>
  <si>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</si>
  <si>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</si>
  <si>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</si>
  <si>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</si>
  <si>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</si>
  <si>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</si>
  <si>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</si>
  <si>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</si>
  <si>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</si>
  <si>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</si>
  <si>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</si>
  <si>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</si>
  <si>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</si>
  <si>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</si>
  <si>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</si>
  <si>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</si>
  <si>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</si>
  <si>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</si>
  <si>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</si>
  <si>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</si>
  <si>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</si>
  <si>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</si>
  <si>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</si>
  <si>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</si>
  <si>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</si>
  <si>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</si>
  <si>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</si>
  <si>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</si>
  <si>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</si>
  <si>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</si>
  <si>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</si>
  <si>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</si>
  <si>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</si>
  <si>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</si>
  <si>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</si>
  <si>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</si>
  <si>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</si>
  <si>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</si>
  <si>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</si>
  <si>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</si>
  <si>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</si>
  <si>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</si>
  <si>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</si>
  <si>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</si>
  <si>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</si>
  <si>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</si>
  <si>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</si>
  <si>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</si>
  <si>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</si>
  <si>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</si>
  <si>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</si>
  <si>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</si>
  <si>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</si>
  <si>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</si>
  <si>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</si>
  <si>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</si>
  <si>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</si>
  <si>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</si>
  <si>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</si>
  <si>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</si>
  <si>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</si>
  <si>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</si>
  <si>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</si>
  <si>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</si>
  <si>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</si>
  <si>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</si>
  <si>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</si>
  <si>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</si>
  <si>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</si>
  <si>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</si>
  <si>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</si>
  <si>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</si>
  <si>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</si>
  <si>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</si>
  <si>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</si>
  <si>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</si>
  <si>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</si>
  <si>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</si>
  <si>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</si>
  <si>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</si>
  <si>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</si>
  <si>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</si>
  <si>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</si>
  <si>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</si>
  <si>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</si>
  <si>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</si>
  <si>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</si>
  <si>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</si>
  <si>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</si>
  <si>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</si>
  <si>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</si>
  <si>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</si>
  <si>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</si>
  <si>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</si>
  <si>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</si>
  <si>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</si>
  <si>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</si>
  <si>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</si>
  <si>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</si>
  <si>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</si>
  <si>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</si>
  <si>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</si>
  <si>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</si>
  <si>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</si>
  <si>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</si>
  <si>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</si>
  <si>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</si>
  <si>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</si>
  <si>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</si>
  <si>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</si>
  <si>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</si>
  <si>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</si>
  <si>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</si>
  <si>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</si>
  <si>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</si>
  <si>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</si>
  <si>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</si>
  <si>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</si>
  <si>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</si>
  <si>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</si>
  <si>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</si>
  <si>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</si>
  <si>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</si>
  <si>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</si>
  <si>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</si>
  <si>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</si>
  <si>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</si>
  <si>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</si>
  <si>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</si>
  <si>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</si>
  <si>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</si>
  <si>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</si>
  <si>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</si>
  <si>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</si>
  <si>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</si>
  <si>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</si>
  <si>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</si>
  <si>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</si>
  <si>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</si>
  <si>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</si>
  <si>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</si>
  <si>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</si>
  <si>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</si>
  <si>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</si>
  <si>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</si>
  <si>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</si>
  <si>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</si>
  <si>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</si>
  <si>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</si>
  <si>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</si>
  <si>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</si>
  <si>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</si>
  <si>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</si>
  <si>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</si>
  <si>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</si>
  <si>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</si>
  <si>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</si>
  <si>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</si>
  <si>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</si>
  <si>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</si>
  <si>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</si>
  <si>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</si>
  <si>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</si>
  <si>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</si>
  <si>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</si>
  <si>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</si>
  <si>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</si>
  <si>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</si>
  <si>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</si>
  <si>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</si>
  <si>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</si>
  <si>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</si>
  <si>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</si>
  <si>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</si>
  <si>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</si>
  <si>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</si>
  <si>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</si>
  <si>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</si>
  <si>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</si>
  <si>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</si>
  <si>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</si>
  <si>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</si>
  <si>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</si>
  <si>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</si>
  <si>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</si>
  <si>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</si>
  <si>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</si>
  <si>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</si>
  <si>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</si>
  <si>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</si>
  <si>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</si>
  <si>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</si>
  <si>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</si>
  <si>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</si>
  <si>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</si>
  <si>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</si>
  <si>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</si>
  <si>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</si>
  <si>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</si>
  <si>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</si>
  <si>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</si>
  <si>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</si>
  <si>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</si>
  <si>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</si>
  <si>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</si>
  <si>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</si>
  <si>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</si>
  <si>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</si>
  <si>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</si>
  <si>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</si>
  <si>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</si>
  <si>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</si>
  <si>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</si>
  <si>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</si>
  <si>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</si>
  <si>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</si>
  <si>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</si>
  <si>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</si>
  <si>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</si>
  <si>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</si>
  <si>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</si>
  <si>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</si>
  <si>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</si>
  <si>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</si>
  <si>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</si>
  <si>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</si>
  <si>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</si>
  <si>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</si>
  <si>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</si>
  <si>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</si>
  <si>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</si>
  <si>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</si>
  <si>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</si>
  <si>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</si>
  <si>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</si>
  <si>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</si>
  <si>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</si>
  <si>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</si>
  <si>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</si>
  <si>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</si>
  <si>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</si>
  <si>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</si>
  <si>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</si>
  <si>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</si>
  <si>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</si>
  <si>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</si>
  <si>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</si>
  <si>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</si>
  <si>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</si>
  <si>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</si>
  <si>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</si>
  <si>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</si>
  <si>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</si>
  <si>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</si>
  <si>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</si>
  <si>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</si>
  <si>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</si>
  <si>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</si>
  <si>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</si>
  <si>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</si>
  <si>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</si>
  <si>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</si>
  <si>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</si>
  <si>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</si>
  <si>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</si>
  <si>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</si>
  <si>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</si>
  <si>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</si>
  <si>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</si>
  <si>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</si>
  <si>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</si>
  <si>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</si>
  <si>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</si>
  <si>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</si>
  <si>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</si>
  <si>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</si>
  <si>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</si>
  <si>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</si>
  <si>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</si>
  <si>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</si>
  <si>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</si>
  <si>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</si>
  <si>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</si>
  <si>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</si>
  <si>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</si>
  <si>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</si>
  <si>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</si>
  <si>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</si>
  <si>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</si>
  <si>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</si>
  <si>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</si>
  <si>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</si>
  <si>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</si>
  <si>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</si>
  <si>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</si>
  <si>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</si>
  <si>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</si>
  <si>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</si>
  <si>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</si>
  <si>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</si>
  <si>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</si>
  <si>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</si>
  <si>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</si>
  <si>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</si>
  <si>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</si>
  <si>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</si>
  <si>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</si>
  <si>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</si>
  <si>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</si>
  <si>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</si>
  <si>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</si>
  <si>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</si>
  <si>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</si>
  <si>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</si>
  <si>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</si>
  <si>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</si>
  <si>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</si>
  <si>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</si>
  <si>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</si>
  <si>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</si>
  <si>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</si>
  <si>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</si>
  <si>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</si>
  <si>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</si>
  <si>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</si>
  <si>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</si>
  <si>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</si>
  <si>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</si>
  <si>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</si>
  <si>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</si>
  <si>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</si>
  <si>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</si>
  <si>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</si>
  <si>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</si>
  <si>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</si>
  <si>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</si>
  <si>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</si>
  <si>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</si>
  <si>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</si>
  <si>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</si>
  <si>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</si>
  <si>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</si>
  <si>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</si>
  <si>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</si>
  <si>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</si>
  <si>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</si>
  <si>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</si>
  <si>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</si>
  <si>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</si>
  <si>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</si>
  <si>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</si>
  <si>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</si>
  <si>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</si>
  <si>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</si>
  <si>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</si>
  <si>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</si>
  <si>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</si>
  <si>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</si>
  <si>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</si>
  <si>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</si>
  <si>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</si>
  <si>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</si>
  <si>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</si>
  <si>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</si>
  <si>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</si>
  <si>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</si>
  <si>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</si>
  <si>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</si>
  <si>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</si>
  <si>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</si>
  <si>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</si>
  <si>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</si>
  <si>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</si>
  <si>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</si>
  <si>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</si>
  <si>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</si>
  <si>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</si>
  <si>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</si>
  <si>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</si>
  <si>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</si>
  <si>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</si>
  <si>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</si>
  <si>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</si>
  <si>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</si>
  <si>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</si>
  <si>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</si>
  <si>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</si>
  <si>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</si>
  <si>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</si>
  <si>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</si>
  <si>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</si>
  <si>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</si>
  <si>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</si>
  <si>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</si>
  <si>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</si>
  <si>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</si>
  <si>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</si>
  <si>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</si>
  <si>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</si>
  <si>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</si>
  <si>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</si>
  <si>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</si>
  <si>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</si>
  <si>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</si>
  <si>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</si>
  <si>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</si>
  <si>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</si>
  <si>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</si>
  <si>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</si>
  <si>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</si>
  <si>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</si>
  <si>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</si>
  <si>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</si>
  <si>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</si>
  <si>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</si>
  <si>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</si>
  <si>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</si>
  <si>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</si>
  <si>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</si>
  <si>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</si>
  <si>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</si>
  <si>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</si>
  <si>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</si>
  <si>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</si>
  <si>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</si>
  <si>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</si>
  <si>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</si>
  <si>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</si>
  <si>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</si>
  <si>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</si>
  <si>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</si>
  <si>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</si>
  <si>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</si>
  <si>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</si>
  <si>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</si>
  <si>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</si>
  <si>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</si>
  <si>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</si>
  <si>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</si>
  <si>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</si>
  <si>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</si>
  <si>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</si>
  <si>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</si>
  <si>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</si>
  <si>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</si>
  <si>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</si>
  <si>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</si>
  <si>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</si>
  <si>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</si>
  <si>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</si>
  <si>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</si>
  <si>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</si>
  <si>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</si>
  <si>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</si>
  <si>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</si>
  <si>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</si>
  <si>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</si>
  <si>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</si>
  <si>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</si>
  <si>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</si>
  <si>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</si>
  <si>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</si>
  <si>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</si>
  <si>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</si>
  <si>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</si>
  <si>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</si>
  <si>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</si>
  <si>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</si>
  <si>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</si>
  <si>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</si>
  <si>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</si>
  <si>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</si>
  <si>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</si>
  <si>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</si>
  <si>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</si>
  <si>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</si>
  <si>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</si>
  <si>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</si>
  <si>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</si>
  <si>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</si>
  <si>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</si>
  <si>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</si>
  <si>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</si>
  <si>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</si>
  <si>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</si>
  <si>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</si>
  <si>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</si>
  <si>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</si>
  <si>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</si>
  <si>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</si>
  <si>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</si>
  <si>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</si>
  <si>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</si>
  <si>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</si>
  <si>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</si>
  <si>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</si>
  <si>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</si>
  <si>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</si>
  <si>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</si>
  <si>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</si>
  <si>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</si>
  <si>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</si>
  <si>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</si>
  <si>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</si>
  <si>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</si>
  <si>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</si>
  <si>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</si>
  <si>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</si>
  <si>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</si>
  <si>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</si>
  <si>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</si>
  <si>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</si>
  <si>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</si>
  <si>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</si>
  <si>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</si>
  <si>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</si>
  <si>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</si>
  <si>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</si>
  <si>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</si>
  <si>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</si>
  <si>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</si>
  <si>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</si>
  <si>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</si>
  <si>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</si>
  <si>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</si>
  <si>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</si>
  <si>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</si>
  <si>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</si>
  <si>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</si>
  <si>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</si>
  <si>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</si>
  <si>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</si>
  <si>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</si>
  <si>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</si>
  <si>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</si>
  <si>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</si>
  <si>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</si>
  <si>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</si>
  <si>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</si>
  <si>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</si>
  <si>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</si>
  <si>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</si>
  <si>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</si>
  <si>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</si>
  <si>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</si>
  <si>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</si>
  <si>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</si>
  <si>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</si>
  <si>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</si>
  <si>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</si>
  <si>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</si>
  <si>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</si>
  <si>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</si>
  <si>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</si>
  <si>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</si>
  <si>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</si>
  <si>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</si>
  <si>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</si>
  <si>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</si>
  <si>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</si>
  <si>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</si>
  <si>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</si>
  <si>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</si>
  <si>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</si>
  <si>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</si>
  <si>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</si>
  <si>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</si>
  <si>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</si>
  <si>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</si>
  <si>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</si>
  <si>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</si>
  <si>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</si>
  <si>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</si>
  <si>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</si>
  <si>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</si>
  <si>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</si>
  <si>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</si>
  <si>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</si>
  <si>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</si>
  <si>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</si>
  <si>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</si>
  <si>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DEPRECIACIoN Y AMORTIZACIoN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</si>
  <si>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</si>
  <si>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</si>
  <si>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</si>
  <si>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</si>
  <si>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</si>
  <si>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</si>
  <si>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</si>
  <si>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</si>
  <si>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</si>
  <si>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</si>
  <si>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</si>
  <si>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</si>
  <si>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</si>
  <si>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</si>
  <si>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</si>
  <si>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</si>
  <si>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</si>
  <si>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</si>
  <si>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</si>
  <si>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</si>
  <si>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</si>
  <si>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</si>
  <si>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</si>
  <si>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</si>
  <si>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</si>
  <si>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</si>
  <si>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</si>
  <si>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</si>
  <si>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</si>
  <si>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</si>
  <si>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</si>
  <si>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</si>
  <si>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</si>
  <si>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</si>
  <si>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</si>
  <si>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</si>
  <si>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</si>
  <si>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</si>
  <si>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GASTO POR PeRDIDAS CREDITICIAS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</si>
  <si>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</si>
  <si>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</si>
  <si>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</si>
  <si>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</si>
  <si>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</si>
  <si>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</si>
  <si>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</si>
  <si>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</si>
  <si>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</si>
  <si>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</si>
  <si>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</si>
  <si>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</si>
  <si>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</si>
  <si>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</si>
  <si>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</si>
  <si>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CReDITOS CASTIGADOS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</si>
  <si>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</si>
  <si>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</si>
  <si>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</si>
  <si>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</si>
  <si>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 xml:space="preserve">DETERIORO POR RIESGO DE CReDITO DE OTROS ACTIVOS FINANCIEROS A COSTO AMORTIZADO Y ACTIVOS FINANCIEROS A VALOR RAZONABLE </t>
  </si>
  <si>
    <t>DETERIORO POR RIESGO DE CReDITO DE ACTIVOS FINANCIEROS A VALOR RAZONABLE CON CAMBIOS EN OTRO RESULTADO INTEGRAL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</si>
  <si>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</si>
  <si>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</si>
  <si>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</si>
  <si>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</si>
  <si>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</si>
  <si>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</si>
  <si>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</si>
  <si>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</si>
  <si>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</si>
  <si>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</si>
  <si>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</si>
  <si>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</si>
  <si>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</si>
  <si>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</si>
  <si>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</si>
  <si>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 ANTES DE PeRDIDAS CREDITICIAS</t>
  </si>
  <si>
    <t>RESULTADO OPERACIONAL</t>
  </si>
  <si>
    <t>RESULTADO DE OPERACIONES CONTiNUAS ANTES DE IMPUESTOS</t>
  </si>
  <si>
    <t>RESULTADO DE OPERACIONES CONTiNUAS DESPUeS DE IMPUESTOS</t>
  </si>
  <si>
    <t>RESULTADO DE OPERACIONES DISCONTINUADAS ANTES DE IMPUESTOS</t>
  </si>
  <si>
    <t>IMPUESTOS DE OPERACIONES DISCONTINUADAS</t>
  </si>
  <si>
    <t>RESULTADO DE OPERACIONES DISCONTINUADAS DESPUeS DE IMPUESTOS</t>
  </si>
  <si>
    <t>UTILIDAD (PeRDIDA) DEL EJERCICIO (O PERIODO)</t>
  </si>
  <si>
    <t>RESULTADO DE LOS PROPIETARIOS</t>
  </si>
  <si>
    <t>RESULTADO DEL INTEReS NO CONTROLADOR</t>
  </si>
  <si>
    <t>ELEMENTOS QUE NO SE RECLASIFICARaN EN RESULTADOS</t>
  </si>
  <si>
    <t>Cambios del valor razonable de instrumentos de patrimonio designados a valor razonable con cambios en otro resultado int</t>
  </si>
  <si>
    <t>OTROS RESULTADOS INTEGRALES QUE NO SE RECLASIFICARaN AL RESULTADO ANTES DE IMPUESTOS</t>
  </si>
  <si>
    <t>Impuesto a la renta sobre otros resultados integrales que no se reclasificaran al resultado</t>
  </si>
  <si>
    <t>TOTAL OTROS RESULTADOS INTEGRALES QUE NO SE RECLASIFICARaN AL RESULTADO DESPUeS DE IMPUESTOS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</si>
  <si>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</si>
  <si>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</si>
  <si>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</si>
  <si>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TOTAL OTROS RESULTADOS INTEGRALES QUE PUEDEN RECLASIFICARSE EN RESULTADOS DESPUeS DE IMPUESTOS</t>
  </si>
  <si>
    <t>OTRO RESULTADO INTEGRAL TOTAL DEL EJERCICIO (O PERIODO)</t>
  </si>
  <si>
    <t>RESULTADO INTEGRAL DEL EJERCICIO (O PERIODO)</t>
  </si>
  <si>
    <t>RESULTADO INTEGRAL DE LOS PROPIETARIOS</t>
  </si>
  <si>
    <t>RESULTADO INTEGRAL DEL INTEReS NO CONTROLADOR</t>
  </si>
  <si>
    <t>DIF MONTO</t>
  </si>
  <si>
    <t>VALIDA</t>
  </si>
  <si>
    <t>CReDITOS EN CARTERA DETERIORADA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</si>
  <si>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</si>
  <si>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</si>
  <si>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</si>
  <si>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</si>
  <si>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</si>
  <si>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</si>
  <si>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</si>
  <si>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CReDITOS CON DEVENGO SUSPENDIDO</t>
  </si>
  <si>
    <t>CASTIGOS DE CReDITOS</t>
  </si>
  <si>
    <t>RECUPERACIONES DE CReDITOS CASTIGADOS</t>
  </si>
  <si>
    <t>MONTOS ADEUDADOS POR LOS CLIENTES</t>
  </si>
  <si>
    <t>CReDITOS CONTINGENTES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</si>
  <si>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</si>
  <si>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</si>
  <si>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</si>
  <si>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</si>
  <si>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</si>
  <si>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</si>
  <si>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</si>
  <si>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</si>
  <si>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</si>
  <si>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</si>
  <si>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</si>
  <si>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</si>
  <si>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</si>
  <si>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</si>
  <si>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</si>
  <si>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</si>
  <si>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</si>
  <si>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</si>
  <si>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</si>
  <si>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</si>
  <si>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</si>
  <si>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</si>
  <si>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</si>
  <si>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</si>
  <si>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</si>
  <si>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</si>
  <si>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</si>
  <si>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</si>
  <si>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</si>
  <si>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</si>
  <si>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</si>
  <si>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</si>
  <si>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</si>
  <si>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</si>
  <si>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</si>
  <si>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</si>
  <si>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</si>
  <si>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</si>
  <si>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</si>
  <si>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</si>
  <si>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</si>
  <si>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</si>
  <si>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</si>
  <si>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</si>
  <si>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</si>
  <si>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</si>
  <si>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</si>
  <si>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</si>
  <si>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</si>
  <si>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</si>
  <si>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</si>
  <si>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</si>
  <si>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</si>
  <si>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</si>
  <si>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</si>
  <si>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</si>
  <si>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DERIVADOS DE CReDITO COMPRADOS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</si>
  <si>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</si>
  <si>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</si>
  <si>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</si>
  <si>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</si>
  <si>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</si>
  <si>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</si>
  <si>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</si>
  <si>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</si>
  <si>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</si>
  <si>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</si>
  <si>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</si>
  <si>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</si>
  <si>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</si>
  <si>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</si>
  <si>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</si>
  <si>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</si>
  <si>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</si>
  <si>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</si>
  <si>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</si>
  <si>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</si>
  <si>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</si>
  <si>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</si>
  <si>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</si>
  <si>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</si>
  <si>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</si>
  <si>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</si>
  <si>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</si>
  <si>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</si>
  <si>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</si>
  <si>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</si>
  <si>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</si>
  <si>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</si>
  <si>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</si>
  <si>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</si>
  <si>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</si>
  <si>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</si>
  <si>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</si>
  <si>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</si>
  <si>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</si>
  <si>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</si>
  <si>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</si>
  <si>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</si>
  <si>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</si>
  <si>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</si>
  <si>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</si>
  <si>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</si>
  <si>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</si>
  <si>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</si>
  <si>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</si>
  <si>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</si>
  <si>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</si>
  <si>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</si>
  <si>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</si>
  <si>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</si>
  <si>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</si>
  <si>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</si>
  <si>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</si>
  <si>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</si>
  <si>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</si>
  <si>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</si>
  <si>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</si>
  <si>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CARTERA NORMAL EVALUACION INDIVIDUAL  CReDITOS CONTINGENTES COMERCIALES</t>
  </si>
  <si>
    <t>Lineas de credito de libre disposicion comerciales</t>
  </si>
  <si>
    <t>Lineas de credito comerciales de libre disposicion de cancelacion inmediata</t>
  </si>
  <si>
    <t>CARTERA SUBESTANDAR EVALUACION INDIVIDUAL  CReDITOS CONTINGENTES COMERCIALES</t>
  </si>
  <si>
    <t>CARTERA EN INCUMPLIMIENTO EVALUACION INDIVIDUAL  CReDITOS CONTINGENTES COMERCIALES</t>
  </si>
  <si>
    <t>CARTERA NORMAL EVALUACION GRUPAL  CReDITOS CONTINGENTES COMERCIALES</t>
  </si>
  <si>
    <t>Otros compromisos de credito - Creditos para estudios superiores ley N 20.027 (CAE)</t>
  </si>
  <si>
    <t>CARTERA EN INCUMPLIMIENTO EVALUACION GRUPAL  CReDITOS CONTINGENTES COMERCIALES</t>
  </si>
  <si>
    <t>CARTERA NORMAL EVALUACION GRUPAL  CReDITOS CONTINGENTES CONSUMO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</si>
  <si>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</si>
  <si>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</si>
  <si>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</si>
  <si>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</si>
  <si>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</si>
  <si>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</si>
  <si>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CARTERA EN INCUMPLIMIENTO EVALUACION GRUPAL  CReDITOS CONTINGENTES CONSUMO</t>
  </si>
  <si>
    <t>Lineas de credito de libre disposicion de cancelacion inmediata  otras</t>
  </si>
  <si>
    <t>CARTERA NORMAL EVALUACION INDIVIDUAL  CReDITOS CONTINGENTES ADEUDADO POR BANCOS</t>
  </si>
  <si>
    <t xml:space="preserve"> CARTERA SUBESTANDAR EVALUACION INDIVIDUAL  CReDITOS CONTINGENTES ADEUDADO POR BANCOS</t>
  </si>
  <si>
    <t>CARTERA EN INCUMPLIMIENTO EVALUACION INDIVIDUAL  CReDITOS CONTINGENTES ADEUDADO POR BANCOS</t>
  </si>
  <si>
    <t>CReDITOS CON MOROSIDAD DE 90 DiAS O MaS EN ACTIVOS FINANCIEROS A COSTO AMORTIZADO</t>
  </si>
  <si>
    <t>CReDITOS CON MOROSIDAD DE 90 DiAS O MaS EN ACTIVOS FINANCIEROS A VALOR RAZONABLE CON CAMBIOS EN OTRO RESULTADO INTEGRAL</t>
  </si>
  <si>
    <t>CReDITOS CON MOROSIDAD DE 90 DiAS O MaS EN ACTIVOS FINANCIEROS A VALOR RAZONABLE CON CAMBIOS EN RESULTADOS</t>
  </si>
  <si>
    <t>CREDITOS EN CARTERA DETERIORADA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</si>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</sst>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2"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tabSelected="1" zoomScale="70" zoomScaleNormal="70" workbookViewId="0">
      <selection activeCell="AF19" sqref="AF19"/>
    </sheetView>
  </sheetViews>
  <sheetFormatPr baseColWidth="10" defaultColWidth="9.140625" defaultRowHeight="15" x14ac:dyDescent="0.25"/>
  <cols>
    <col min="1" max="1" width="6.5703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52" t="s">
        <v>3401</v>
      </c>
      <c r="AF4" s="52"/>
      <c r="AG4" s="52"/>
      <c r="AH4" s="52"/>
      <c r="AI4" s="52"/>
      <c r="AJ4" s="52"/>
      <c r="AK4" s="52"/>
    </row>
    <row r="5" spans="3:37" x14ac:dyDescent="0.25">
      <c r="C5" s="1"/>
      <c r="AE5" s="52"/>
      <c r="AF5" s="52"/>
      <c r="AG5" s="52"/>
      <c r="AH5" s="52"/>
      <c r="AI5" s="52"/>
      <c r="AJ5" s="52"/>
      <c r="AK5" s="52"/>
    </row>
    <row r="6" spans="3:37" ht="15.75" thickBot="1" x14ac:dyDescent="0.3"/>
    <row r="7" spans="3:37" ht="15.75" thickBot="1" x14ac:dyDescent="0.3">
      <c r="AE7" s="49" t="s">
        <v>3397</v>
      </c>
      <c r="AF7" s="50"/>
      <c r="AG7" s="50"/>
      <c r="AH7" s="51"/>
      <c r="AI7" s="47" t="s">
        <v>3398</v>
      </c>
      <c r="AJ7" s="47"/>
      <c r="AK7" s="48"/>
    </row>
    <row r="8" spans="3:37" ht="15.75" thickBot="1" x14ac:dyDescent="0.3">
      <c r="AE8" s="49" t="s">
        <v>3399</v>
      </c>
      <c r="AF8" s="50"/>
      <c r="AG8" s="50"/>
      <c r="AH8" s="51"/>
      <c r="AI8" s="47" t="s">
        <v>3400</v>
      </c>
      <c r="AJ8" s="47"/>
      <c r="AK8" s="48"/>
    </row>
    <row r="11" spans="3:37" x14ac:dyDescent="0.25">
      <c r="AE11" s="46" t="s">
        <v>3403</v>
      </c>
      <c r="AF11" s="1"/>
      <c r="AG11" s="1"/>
      <c r="AH11" s="1"/>
      <c r="AI11" s="1"/>
    </row>
  </sheetData>
  <mergeCells count="5">
    <mergeCell ref="AI7:AK7"/>
    <mergeCell ref="AE8:AH8"/>
    <mergeCell ref="AE7:AH7"/>
    <mergeCell ref="AI8:AK8"/>
    <mergeCell ref="AE4:AK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7109375" style="28" bestFit="1" customWidth="1"/>
    <col min="2" max="4" width="14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30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30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30"/>
    </row>
    <row r="675" spans="1:6" x14ac:dyDescent="0.2">
      <c r="A675" s="30"/>
    </row>
    <row r="676" spans="1:6" x14ac:dyDescent="0.2">
      <c r="A676" s="30"/>
    </row>
    <row r="677" spans="1:6" x14ac:dyDescent="0.2">
      <c r="A677" s="30"/>
    </row>
    <row r="678" spans="1:6" x14ac:dyDescent="0.2">
      <c r="A678" s="30"/>
    </row>
    <row r="679" spans="1:6" x14ac:dyDescent="0.2">
      <c r="A679" s="30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7109375" style="28" bestFit="1" customWidth="1"/>
    <col min="2" max="4" width="14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30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30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30"/>
    </row>
    <row r="675" spans="1:6" x14ac:dyDescent="0.2">
      <c r="A675" s="30"/>
    </row>
    <row r="676" spans="1:6" x14ac:dyDescent="0.2">
      <c r="A676" s="30"/>
    </row>
    <row r="677" spans="1:6" x14ac:dyDescent="0.2">
      <c r="A677" s="30"/>
    </row>
    <row r="678" spans="1:6" x14ac:dyDescent="0.2">
      <c r="A678" s="30"/>
    </row>
    <row r="679" spans="1:6" x14ac:dyDescent="0.2">
      <c r="A679" s="30"/>
    </row>
    <row r="680" spans="1:6" x14ac:dyDescent="0.2">
      <c r="A680" s="30"/>
    </row>
    <row r="681" spans="1:6" x14ac:dyDescent="0.2">
      <c r="A681" s="30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7"/>
      <c r="B336" s="8"/>
      <c r="C336" s="8"/>
      <c r="D336" s="8"/>
      <c r="E336" s="8"/>
      <c r="F336" s="8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13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7"/>
      <c r="B356" s="8"/>
      <c r="C356" s="8"/>
      <c r="D356" s="8"/>
      <c r="E356" s="8"/>
      <c r="F356" s="8"/>
      <c r="H356" s="13"/>
    </row>
    <row r="357" spans="1:8" x14ac:dyDescent="0.2">
      <c r="A357" s="7"/>
      <c r="B357" s="8"/>
      <c r="C357" s="8"/>
      <c r="D357" s="8"/>
      <c r="E357" s="8"/>
      <c r="F357" s="8"/>
      <c r="H357" s="13"/>
    </row>
    <row r="358" spans="1:8" x14ac:dyDescent="0.2">
      <c r="A358" s="7"/>
      <c r="B358" s="8"/>
      <c r="C358" s="8"/>
      <c r="D358" s="8"/>
      <c r="E358" s="8"/>
      <c r="F358" s="8"/>
      <c r="H358" s="13"/>
    </row>
    <row r="359" spans="1:8" x14ac:dyDescent="0.2">
      <c r="A359" s="7"/>
      <c r="B359" s="8"/>
      <c r="C359" s="8"/>
      <c r="D359" s="8"/>
      <c r="E359" s="8"/>
      <c r="F359" s="8"/>
      <c r="H359" s="13"/>
    </row>
    <row r="360" spans="1:8" x14ac:dyDescent="0.2">
      <c r="A360" s="7"/>
      <c r="B360" s="8"/>
      <c r="C360" s="8"/>
      <c r="D360" s="8"/>
      <c r="E360" s="8"/>
      <c r="F360" s="8"/>
      <c r="H360" s="13"/>
    </row>
    <row r="361" spans="1:8" x14ac:dyDescent="0.2">
      <c r="A361" s="7"/>
      <c r="B361" s="8"/>
      <c r="C361" s="8"/>
      <c r="D361" s="8"/>
      <c r="E361" s="8"/>
      <c r="F361" s="8"/>
      <c r="H361" s="13"/>
    </row>
    <row r="362" spans="1:8" x14ac:dyDescent="0.2">
      <c r="A362" s="7"/>
      <c r="B362" s="8"/>
      <c r="C362" s="8"/>
      <c r="D362" s="8"/>
      <c r="E362" s="8"/>
      <c r="F362" s="8"/>
      <c r="H362" s="13"/>
    </row>
    <row r="363" spans="1:8" x14ac:dyDescent="0.2">
      <c r="A363" s="7"/>
      <c r="B363" s="8"/>
      <c r="C363" s="8"/>
      <c r="D363" s="8"/>
      <c r="E363" s="8"/>
      <c r="F363" s="8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13"/>
      <c r="H368" s="13"/>
    </row>
    <row r="369" spans="1:8" x14ac:dyDescent="0.2">
      <c r="A369" s="13"/>
      <c r="H369" s="13"/>
    </row>
    <row r="370" spans="1:8" x14ac:dyDescent="0.2">
      <c r="A370" s="13"/>
      <c r="H370" s="13"/>
    </row>
    <row r="371" spans="1:8" x14ac:dyDescent="0.2">
      <c r="A371" s="13"/>
      <c r="H371" s="13"/>
    </row>
    <row r="372" spans="1:8" x14ac:dyDescent="0.2">
      <c r="A372" s="13"/>
      <c r="H372" s="13"/>
    </row>
    <row r="373" spans="1:8" x14ac:dyDescent="0.2">
      <c r="A373" s="13"/>
      <c r="H373" s="13"/>
    </row>
    <row r="374" spans="1:8" x14ac:dyDescent="0.2">
      <c r="A374" s="13"/>
    </row>
    <row r="375" spans="1:8" x14ac:dyDescent="0.2">
      <c r="A375" s="13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13"/>
    </row>
    <row r="675" spans="1:6" x14ac:dyDescent="0.2">
      <c r="A675" s="13"/>
    </row>
    <row r="676" spans="1:6" x14ac:dyDescent="0.2">
      <c r="A676" s="13"/>
    </row>
    <row r="677" spans="1:6" x14ac:dyDescent="0.2">
      <c r="A677" s="13"/>
    </row>
    <row r="678" spans="1:6" x14ac:dyDescent="0.2">
      <c r="A678" s="13"/>
    </row>
    <row r="679" spans="1:6" x14ac:dyDescent="0.2">
      <c r="A679" s="13"/>
    </row>
    <row r="680" spans="1:6" x14ac:dyDescent="0.2">
      <c r="A680" s="13"/>
    </row>
    <row r="681" spans="1:6" x14ac:dyDescent="0.2">
      <c r="A681" s="13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3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13"/>
      <c r="C272" s="8"/>
      <c r="D272" s="8"/>
      <c r="E272" s="8"/>
      <c r="F272" s="8"/>
    </row>
    <row r="273" spans="1:6" x14ac:dyDescent="0.2">
      <c r="A273" s="13"/>
      <c r="C273" s="8"/>
      <c r="D273" s="8"/>
      <c r="E273" s="8"/>
      <c r="F273" s="8"/>
    </row>
    <row r="274" spans="1:6" x14ac:dyDescent="0.2">
      <c r="A274" s="13"/>
      <c r="C274" s="8"/>
      <c r="D274" s="8"/>
      <c r="E274" s="8"/>
      <c r="F274" s="8"/>
    </row>
    <row r="275" spans="1:6" x14ac:dyDescent="0.2">
      <c r="A275" s="13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13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13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13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13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7"/>
      <c r="B1082" s="8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x14ac:dyDescent="0.2">
      <c r="A1087" s="7"/>
      <c r="B1087" s="8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x14ac:dyDescent="0.2">
      <c r="A1092" s="7"/>
      <c r="B1092" s="8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x14ac:dyDescent="0.2">
      <c r="A1097" s="7"/>
      <c r="B1097" s="8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13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13"/>
      <c r="C272" s="8"/>
      <c r="D272" s="8"/>
      <c r="E272" s="8"/>
      <c r="F272" s="8"/>
    </row>
    <row r="273" spans="1:6" x14ac:dyDescent="0.2">
      <c r="A273" s="13"/>
      <c r="C273" s="8"/>
      <c r="D273" s="8"/>
      <c r="E273" s="8"/>
      <c r="F273" s="8"/>
    </row>
    <row r="274" spans="1:6" x14ac:dyDescent="0.2">
      <c r="A274" s="13"/>
      <c r="C274" s="8"/>
      <c r="D274" s="8"/>
      <c r="E274" s="8"/>
      <c r="F274" s="8"/>
    </row>
    <row r="275" spans="1:6" x14ac:dyDescent="0.2">
      <c r="A275" s="13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13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13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13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13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7"/>
      <c r="B1082" s="8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x14ac:dyDescent="0.2">
      <c r="A1087" s="7"/>
      <c r="B1087" s="8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x14ac:dyDescent="0.2">
      <c r="A1092" s="7"/>
      <c r="B1092" s="8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x14ac:dyDescent="0.2">
      <c r="A1097" s="7"/>
      <c r="B1097" s="8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13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7"/>
      <c r="B268" s="14"/>
      <c r="C268" s="14"/>
      <c r="D268" s="14"/>
      <c r="E268" s="14"/>
      <c r="F268" s="14"/>
    </row>
    <row r="269" spans="1:6" ht="15" x14ac:dyDescent="0.25">
      <c r="A269" s="7"/>
      <c r="B269" s="14"/>
      <c r="C269" s="14"/>
      <c r="D269" s="14"/>
      <c r="E269" s="14"/>
      <c r="F269" s="14"/>
    </row>
    <row r="270" spans="1:6" ht="15" x14ac:dyDescent="0.25">
      <c r="A270" s="7"/>
      <c r="B270" s="14"/>
      <c r="C270" s="14"/>
      <c r="D270" s="14"/>
      <c r="E270" s="14"/>
      <c r="F270" s="14"/>
    </row>
    <row r="271" spans="1:6" ht="15" x14ac:dyDescent="0.25">
      <c r="A271" s="7"/>
      <c r="B271" s="14"/>
      <c r="C271" s="14"/>
      <c r="D271" s="14"/>
      <c r="E271" s="14"/>
      <c r="F271" s="14"/>
    </row>
    <row r="272" spans="1:6" ht="15" x14ac:dyDescent="0.25">
      <c r="A272" s="13"/>
      <c r="C272" s="14"/>
      <c r="D272" s="14"/>
      <c r="E272" s="14"/>
      <c r="F272" s="14"/>
    </row>
    <row r="273" spans="1:6" ht="15" x14ac:dyDescent="0.25">
      <c r="A273" s="13"/>
      <c r="C273" s="14"/>
      <c r="D273" s="14"/>
      <c r="E273" s="14"/>
      <c r="F273" s="14"/>
    </row>
    <row r="274" spans="1:6" ht="15" x14ac:dyDescent="0.25">
      <c r="A274" s="13"/>
      <c r="C274" s="14"/>
      <c r="D274" s="14"/>
      <c r="E274" s="14"/>
      <c r="F274" s="14"/>
    </row>
    <row r="275" spans="1:6" ht="15" x14ac:dyDescent="0.25">
      <c r="A275" s="13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7"/>
      <c r="B279" s="14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7"/>
      <c r="B286" s="14"/>
      <c r="C286" s="14"/>
      <c r="D286" s="14"/>
      <c r="E286" s="14"/>
      <c r="F286" s="14"/>
    </row>
    <row r="287" spans="1:6" ht="15" x14ac:dyDescent="0.25">
      <c r="A287" s="13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13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7"/>
      <c r="B300" s="14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13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7"/>
      <c r="B321" s="14"/>
      <c r="C321" s="14"/>
      <c r="D321" s="14"/>
      <c r="E321" s="14"/>
      <c r="F321" s="14"/>
    </row>
    <row r="322" spans="1:6" ht="15" x14ac:dyDescent="0.25">
      <c r="A322" s="7"/>
      <c r="B322" s="14"/>
      <c r="C322" s="14"/>
      <c r="D322" s="14"/>
      <c r="E322" s="14"/>
      <c r="F322" s="14"/>
    </row>
    <row r="323" spans="1:6" ht="15" x14ac:dyDescent="0.25">
      <c r="A323" s="7"/>
      <c r="B323" s="14"/>
      <c r="C323" s="14"/>
      <c r="D323" s="14"/>
      <c r="E323" s="14"/>
      <c r="F323" s="14"/>
    </row>
    <row r="324" spans="1:6" ht="15" x14ac:dyDescent="0.25">
      <c r="A324" s="7"/>
      <c r="B324" s="14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13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ht="15" x14ac:dyDescent="0.25">
      <c r="A1082" s="7"/>
      <c r="B1082" s="14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ht="15" x14ac:dyDescent="0.25">
      <c r="A1087" s="7"/>
      <c r="B1087" s="14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ht="15" x14ac:dyDescent="0.25">
      <c r="A1092" s="7"/>
      <c r="B1092" s="14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ht="15" x14ac:dyDescent="0.25">
      <c r="A1097" s="7"/>
      <c r="B1097" s="14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13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ht="15" x14ac:dyDescent="0.25">
      <c r="A1108" s="7"/>
      <c r="B1108" s="14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Normal="100" workbookViewId="0">
      <pane ySplit="1" topLeftCell="A2" activePane="bottomLeft" state="frozenSplit"/>
      <selection activeCell="I31" sqref="I31"/>
      <selection pane="bottomLeft" activeCell="C1" sqref="C1"/>
    </sheetView>
  </sheetViews>
  <sheetFormatPr baseColWidth="10" defaultColWidth="9.140625" defaultRowHeight="12.75" x14ac:dyDescent="0.2"/>
  <cols>
    <col min="1" max="1" width="13.42578125" style="19" bestFit="1" customWidth="1"/>
    <col min="2" max="4" width="14.28515625" style="3" bestFit="1" customWidth="1"/>
    <col min="5" max="5" width="9" style="3" bestFit="1" customWidth="1"/>
    <col min="6" max="6" width="14.28515625" style="3" bestFit="1" customWidth="1"/>
    <col min="7" max="7" width="93.85546875" style="19" bestFit="1" customWidth="1"/>
    <col min="8" max="8" width="10" style="19" bestFit="1" customWidth="1"/>
    <col min="9" max="10" width="14.28515625" style="6" bestFit="1" customWidth="1"/>
    <col min="11" max="11" width="13.28515625" style="6" bestFit="1" customWidth="1"/>
    <col min="12" max="12" width="9" style="6" bestFit="1" customWidth="1"/>
    <col min="13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J2+K2+L2+M2</f>
        <v>0</v>
      </c>
      <c r="J2" s="6">
        <f>C3+C18+C32+C68+C94+C117+C140+C148+C294+C305+C324+C349+C350+C351+C392</f>
        <v>0</v>
      </c>
      <c r="K2" s="6">
        <f>D3+D18+D32+D68+D94+D117+D140+D148+D294+D305+D324+D349+D350+D351+D392</f>
        <v>0</v>
      </c>
      <c r="L2" s="6">
        <f>E3+E18+E32+E68+E94+E117+E140+E148+E294+E305+E324+E349+E350+E351+E392</f>
        <v>0</v>
      </c>
      <c r="M2" s="6">
        <f>F3+F18+F32+F68+F94+F117+F140+F148+F294+F305+F324+F349+F350+F351+F392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C118+C133+C139</f>
        <v>0</v>
      </c>
      <c r="K117" s="6">
        <f>D118+D133+D139</f>
        <v>0</v>
      </c>
      <c r="L117" s="6">
        <f>E118+E133+E139</f>
        <v>0</v>
      </c>
      <c r="M117" s="6">
        <f>F118+F133+F139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</f>
        <v>0</v>
      </c>
      <c r="K133" s="6">
        <f>D134</f>
        <v>0</v>
      </c>
      <c r="L133" s="6">
        <f>E134</f>
        <v>0</v>
      </c>
      <c r="M133" s="6">
        <f>F134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3" t="s">
        <v>2437</v>
      </c>
      <c r="H139" s="23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C325+C329+C333</f>
        <v>0</v>
      </c>
      <c r="K324" s="6">
        <f>D325+D329+D333</f>
        <v>0</v>
      </c>
      <c r="L324" s="6">
        <f>E325+E329+E333</f>
        <v>0</v>
      </c>
      <c r="M324" s="6">
        <f>F325+F329+F333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3" t="s">
        <v>2601</v>
      </c>
      <c r="H333" s="23" t="s">
        <v>330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4" t="s">
        <v>2595</v>
      </c>
      <c r="H334" s="24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4" t="s">
        <v>2602</v>
      </c>
      <c r="H338" s="24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4" t="s">
        <v>2599</v>
      </c>
      <c r="H341" s="24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4" t="s">
        <v>2603</v>
      </c>
      <c r="H345" s="24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</f>
        <v>0</v>
      </c>
      <c r="K441" s="6">
        <f>D442+D471+D480+D495</f>
        <v>0</v>
      </c>
      <c r="L441" s="6">
        <f>E442+E471+E480+E495</f>
        <v>0</v>
      </c>
      <c r="M441" s="6">
        <f>F442+F471+F480+F495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C496+C507+C518+C521+C524+C531</f>
        <v>0</v>
      </c>
      <c r="K495" s="6">
        <f>D496+D507+D518+D521+D524+D531</f>
        <v>0</v>
      </c>
      <c r="L495" s="6">
        <f>E496+E507+E518+E521+E524+E531</f>
        <v>0</v>
      </c>
      <c r="M495" s="6">
        <f>F496+F507+F518+F521+F524+F531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45" t="s">
        <v>2713</v>
      </c>
      <c r="H524" s="45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45" t="s">
        <v>2720</v>
      </c>
      <c r="H531" s="45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C659+C669+C674+C695+C698+C699+C705</f>
        <v>0</v>
      </c>
      <c r="K658" s="6">
        <f>D659+D669+D674+D695+D698+D699+D705</f>
        <v>0</v>
      </c>
      <c r="L658" s="6">
        <f>E659+E669+E674+E695+E698+E699+E705</f>
        <v>0</v>
      </c>
      <c r="M658" s="6">
        <f>F659+F669+F674+F695+F698+F699+F705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Normal="100" workbookViewId="0">
      <pane ySplit="1" topLeftCell="A670" activePane="bottomLeft" state="frozenSplit"/>
      <selection activeCell="I31" sqref="I31"/>
      <selection pane="bottomLeft" activeCell="F710" sqref="F710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3402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>C7</f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>C9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>C10</f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>C11</f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>C13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>C14</f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>C15</f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>C16</f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>C17</f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>C20</f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>C21</f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>C22</f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>C24</f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>C25</f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>C26</f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>C28</f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>C29</f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>C30</f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>C31</f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ref="F34:F39" si="2">C34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>C42</f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>C43</f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>C44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>C46</f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>C47</f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>C48</f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>C50</f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>C51</f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>C52</f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>C53</f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>C54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>C57</f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>C58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>C60</f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>C61</f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>C63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>C64</f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>C65</f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>C66</f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>C67</f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>C72</f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>C73</f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>C75</f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>C76</f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>C77</f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>C79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>C80</f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>C81</f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>C82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>C83</f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>C86</f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>C87</f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>C89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>C90</f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>C91</f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>C92</f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>C93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>C97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>C98</f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>C99</f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>C101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>C102</f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>C103</f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>C105</f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>C106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>C107</f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>C108</f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>C109</f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>C112</f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>C113</f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>C114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>C115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>C116</f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C118+C133+C139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>C120</f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>C121</f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>C122</f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>C124</f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>C125</f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>C126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>C128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>C129</f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>C130</f>
        <v>0</v>
      </c>
      <c r="G130" s="6">
        <f t="shared" ref="G130:G193" si="5">C130-F130</f>
        <v>0</v>
      </c>
      <c r="H130" s="6" t="str">
        <f t="shared" ref="H130:H193" si="6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>C131</f>
        <v>0</v>
      </c>
      <c r="G131" s="6">
        <f t="shared" si="5"/>
        <v>0</v>
      </c>
      <c r="H131" s="6" t="str">
        <f t="shared" si="6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>C132</f>
        <v>0</v>
      </c>
      <c r="G132" s="6">
        <f t="shared" si="5"/>
        <v>0</v>
      </c>
      <c r="H132" s="6" t="str">
        <f t="shared" si="6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</f>
        <v>0</v>
      </c>
      <c r="G133" s="6">
        <f t="shared" si="5"/>
        <v>0</v>
      </c>
      <c r="H133" s="6" t="str">
        <f t="shared" si="6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5"/>
        <v>0</v>
      </c>
      <c r="H134" s="6" t="str">
        <f t="shared" si="6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>C135</f>
        <v>0</v>
      </c>
      <c r="G135" s="6">
        <f t="shared" si="5"/>
        <v>0</v>
      </c>
      <c r="H135" s="6" t="str">
        <f t="shared" si="6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>C136</f>
        <v>0</v>
      </c>
      <c r="G136" s="6">
        <f t="shared" si="5"/>
        <v>0</v>
      </c>
      <c r="H136" s="6" t="str">
        <f t="shared" si="6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>C137</f>
        <v>0</v>
      </c>
      <c r="G137" s="6">
        <f t="shared" si="5"/>
        <v>0</v>
      </c>
      <c r="H137" s="6" t="str">
        <f t="shared" si="6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>C138</f>
        <v>0</v>
      </c>
      <c r="G138" s="6">
        <f t="shared" si="5"/>
        <v>0</v>
      </c>
      <c r="H138" s="6" t="str">
        <f t="shared" si="6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3" t="s">
        <v>2437</v>
      </c>
      <c r="E139" s="23" t="s">
        <v>123</v>
      </c>
      <c r="F139" s="6">
        <f>C139</f>
        <v>0</v>
      </c>
      <c r="G139" s="6">
        <f t="shared" si="5"/>
        <v>0</v>
      </c>
      <c r="H139" s="6" t="str">
        <f t="shared" si="6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5"/>
        <v>0</v>
      </c>
      <c r="H140" s="6" t="str">
        <f t="shared" si="6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5"/>
        <v>0</v>
      </c>
      <c r="H141" s="6" t="str">
        <f t="shared" si="6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ref="F142:F147" si="7">C142</f>
        <v>0</v>
      </c>
      <c r="G142" s="6">
        <f t="shared" si="5"/>
        <v>0</v>
      </c>
      <c r="H142" s="6" t="str">
        <f t="shared" si="6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7"/>
        <v>0</v>
      </c>
      <c r="G143" s="6">
        <f t="shared" si="5"/>
        <v>0</v>
      </c>
      <c r="H143" s="6" t="str">
        <f t="shared" si="6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7"/>
        <v>0</v>
      </c>
      <c r="G144" s="6">
        <f t="shared" si="5"/>
        <v>0</v>
      </c>
      <c r="H144" s="6" t="str">
        <f t="shared" si="6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7"/>
        <v>0</v>
      </c>
      <c r="G145" s="6">
        <f t="shared" si="5"/>
        <v>0</v>
      </c>
      <c r="H145" s="6" t="str">
        <f t="shared" si="6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7"/>
        <v>0</v>
      </c>
      <c r="G146" s="6">
        <f t="shared" si="5"/>
        <v>0</v>
      </c>
      <c r="H146" s="6" t="str">
        <f t="shared" si="6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7"/>
        <v>0</v>
      </c>
      <c r="G147" s="6">
        <f t="shared" si="5"/>
        <v>0</v>
      </c>
      <c r="H147" s="6" t="str">
        <f t="shared" si="6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5"/>
        <v>0</v>
      </c>
      <c r="H148" s="6" t="str">
        <f t="shared" si="6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5"/>
        <v>0</v>
      </c>
      <c r="H149" s="6" t="str">
        <f t="shared" si="6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5"/>
        <v>0</v>
      </c>
      <c r="H150" s="6" t="str">
        <f t="shared" si="6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>C151</f>
        <v>0</v>
      </c>
      <c r="G151" s="6">
        <f t="shared" si="5"/>
        <v>0</v>
      </c>
      <c r="H151" s="6" t="str">
        <f t="shared" si="6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>C152</f>
        <v>0</v>
      </c>
      <c r="G152" s="6">
        <f t="shared" si="5"/>
        <v>0</v>
      </c>
      <c r="H152" s="6" t="str">
        <f t="shared" si="6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>C153</f>
        <v>0</v>
      </c>
      <c r="G153" s="6">
        <f t="shared" si="5"/>
        <v>0</v>
      </c>
      <c r="H153" s="6" t="str">
        <f t="shared" si="6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5"/>
        <v>0</v>
      </c>
      <c r="H154" s="6" t="str">
        <f t="shared" si="6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>C155</f>
        <v>0</v>
      </c>
      <c r="G155" s="6">
        <f t="shared" si="5"/>
        <v>0</v>
      </c>
      <c r="H155" s="6" t="str">
        <f t="shared" si="6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>C156</f>
        <v>0</v>
      </c>
      <c r="G156" s="6">
        <f t="shared" si="5"/>
        <v>0</v>
      </c>
      <c r="H156" s="6" t="str">
        <f t="shared" si="6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>C157</f>
        <v>0</v>
      </c>
      <c r="G157" s="6">
        <f t="shared" si="5"/>
        <v>0</v>
      </c>
      <c r="H157" s="6" t="str">
        <f t="shared" si="6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5"/>
        <v>0</v>
      </c>
      <c r="H158" s="6" t="str">
        <f t="shared" si="6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>C159</f>
        <v>0</v>
      </c>
      <c r="G159" s="6">
        <f t="shared" si="5"/>
        <v>0</v>
      </c>
      <c r="H159" s="6" t="str">
        <f t="shared" si="6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>C160</f>
        <v>0</v>
      </c>
      <c r="G160" s="6">
        <f t="shared" si="5"/>
        <v>0</v>
      </c>
      <c r="H160" s="6" t="str">
        <f t="shared" si="6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5"/>
        <v>0</v>
      </c>
      <c r="H161" s="6" t="str">
        <f t="shared" si="6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>C162</f>
        <v>0</v>
      </c>
      <c r="G162" s="6">
        <f t="shared" si="5"/>
        <v>0</v>
      </c>
      <c r="H162" s="6" t="str">
        <f t="shared" si="6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>C163</f>
        <v>0</v>
      </c>
      <c r="G163" s="6">
        <f t="shared" si="5"/>
        <v>0</v>
      </c>
      <c r="H163" s="6" t="str">
        <f t="shared" si="6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5"/>
        <v>0</v>
      </c>
      <c r="H164" s="6" t="str">
        <f t="shared" si="6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>C165</f>
        <v>0</v>
      </c>
      <c r="G165" s="6">
        <f t="shared" si="5"/>
        <v>0</v>
      </c>
      <c r="H165" s="6" t="str">
        <f t="shared" si="6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>C166</f>
        <v>0</v>
      </c>
      <c r="G166" s="6">
        <f t="shared" si="5"/>
        <v>0</v>
      </c>
      <c r="H166" s="6" t="str">
        <f t="shared" si="6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>C167</f>
        <v>0</v>
      </c>
      <c r="G167" s="6">
        <f t="shared" si="5"/>
        <v>0</v>
      </c>
      <c r="H167" s="6" t="str">
        <f t="shared" si="6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5"/>
        <v>0</v>
      </c>
      <c r="H168" s="6" t="str">
        <f t="shared" si="6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5"/>
        <v>0</v>
      </c>
      <c r="H169" s="6" t="str">
        <f t="shared" si="6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>C170</f>
        <v>0</v>
      </c>
      <c r="G170" s="6">
        <f t="shared" si="5"/>
        <v>0</v>
      </c>
      <c r="H170" s="6" t="str">
        <f t="shared" si="6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>C171</f>
        <v>0</v>
      </c>
      <c r="G171" s="6">
        <f t="shared" si="5"/>
        <v>0</v>
      </c>
      <c r="H171" s="6" t="str">
        <f t="shared" si="6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>C172</f>
        <v>0</v>
      </c>
      <c r="G172" s="6">
        <f t="shared" si="5"/>
        <v>0</v>
      </c>
      <c r="H172" s="6" t="str">
        <f t="shared" si="6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5"/>
        <v>0</v>
      </c>
      <c r="H173" s="6" t="str">
        <f t="shared" si="6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>C174</f>
        <v>0</v>
      </c>
      <c r="G174" s="6">
        <f t="shared" si="5"/>
        <v>0</v>
      </c>
      <c r="H174" s="6" t="str">
        <f t="shared" si="6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>C175</f>
        <v>0</v>
      </c>
      <c r="G175" s="6">
        <f t="shared" si="5"/>
        <v>0</v>
      </c>
      <c r="H175" s="6" t="str">
        <f t="shared" si="6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>C176</f>
        <v>0</v>
      </c>
      <c r="G176" s="6">
        <f t="shared" si="5"/>
        <v>0</v>
      </c>
      <c r="H176" s="6" t="str">
        <f t="shared" si="6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5"/>
        <v>0</v>
      </c>
      <c r="H177" s="6" t="str">
        <f t="shared" si="6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>C178</f>
        <v>0</v>
      </c>
      <c r="G178" s="6">
        <f t="shared" si="5"/>
        <v>0</v>
      </c>
      <c r="H178" s="6" t="str">
        <f t="shared" si="6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>C179</f>
        <v>0</v>
      </c>
      <c r="G179" s="6">
        <f t="shared" si="5"/>
        <v>0</v>
      </c>
      <c r="H179" s="6" t="str">
        <f t="shared" si="6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>C180</f>
        <v>0</v>
      </c>
      <c r="G180" s="6">
        <f t="shared" si="5"/>
        <v>0</v>
      </c>
      <c r="H180" s="6" t="str">
        <f t="shared" si="6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>C181</f>
        <v>0</v>
      </c>
      <c r="G181" s="6">
        <f t="shared" si="5"/>
        <v>0</v>
      </c>
      <c r="H181" s="6" t="str">
        <f t="shared" si="6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>C182</f>
        <v>0</v>
      </c>
      <c r="G182" s="6">
        <f t="shared" si="5"/>
        <v>0</v>
      </c>
      <c r="H182" s="6" t="str">
        <f t="shared" si="6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5"/>
        <v>0</v>
      </c>
      <c r="H183" s="6" t="str">
        <f t="shared" si="6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>C184</f>
        <v>0</v>
      </c>
      <c r="G184" s="6">
        <f t="shared" si="5"/>
        <v>0</v>
      </c>
      <c r="H184" s="6" t="str">
        <f t="shared" si="6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>C185</f>
        <v>0</v>
      </c>
      <c r="G185" s="6">
        <f t="shared" si="5"/>
        <v>0</v>
      </c>
      <c r="H185" s="6" t="str">
        <f t="shared" si="6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>C186</f>
        <v>0</v>
      </c>
      <c r="G186" s="6">
        <f t="shared" si="5"/>
        <v>0</v>
      </c>
      <c r="H186" s="6" t="str">
        <f t="shared" si="6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5"/>
        <v>0</v>
      </c>
      <c r="H187" s="6" t="str">
        <f t="shared" si="6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5"/>
        <v>0</v>
      </c>
      <c r="H188" s="6" t="str">
        <f t="shared" si="6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ref="F189:F196" si="8">C189</f>
        <v>0</v>
      </c>
      <c r="G189" s="6">
        <f t="shared" si="5"/>
        <v>0</v>
      </c>
      <c r="H189" s="6" t="str">
        <f t="shared" si="6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5"/>
        <v>0</v>
      </c>
      <c r="H190" s="6" t="str">
        <f t="shared" si="6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5"/>
        <v>0</v>
      </c>
      <c r="H191" s="6" t="str">
        <f t="shared" si="6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5"/>
        <v>0</v>
      </c>
      <c r="H192" s="6" t="str">
        <f t="shared" si="6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5"/>
        <v>0</v>
      </c>
      <c r="H193" s="6" t="str">
        <f t="shared" si="6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>C198</f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>C200</f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ref="F202:F210" si="11">C202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>C212</f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>C213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>C214</f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>C216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>C217</f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>C218</f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>C220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>C221</f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>C222</f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ref="F226:F231" si="12">C226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2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2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2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2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2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ref="F233:F239" si="13">C233</f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3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3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3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3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3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3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>C241</f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>C242</f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>C244</f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>C245</f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>C247</f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>C248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>C250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>C251</f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>C252</f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>C254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>C255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>C256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>C258</f>
        <v>0</v>
      </c>
      <c r="G258" s="6">
        <f t="shared" ref="G258:G321" si="14">C258-F258</f>
        <v>0</v>
      </c>
      <c r="H258" s="6" t="str">
        <f t="shared" ref="H258:H321" si="15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>C259</f>
        <v>0</v>
      </c>
      <c r="G259" s="6">
        <f t="shared" si="14"/>
        <v>0</v>
      </c>
      <c r="H259" s="6" t="str">
        <f t="shared" si="15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>C260</f>
        <v>0</v>
      </c>
      <c r="G260" s="6">
        <f t="shared" si="14"/>
        <v>0</v>
      </c>
      <c r="H260" s="6" t="str">
        <f t="shared" si="15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4"/>
        <v>0</v>
      </c>
      <c r="H261" s="6" t="str">
        <f t="shared" si="15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>C262</f>
        <v>0</v>
      </c>
      <c r="G262" s="6">
        <f t="shared" si="14"/>
        <v>0</v>
      </c>
      <c r="H262" s="6" t="str">
        <f t="shared" si="15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>C263</f>
        <v>0</v>
      </c>
      <c r="G263" s="6">
        <f t="shared" si="14"/>
        <v>0</v>
      </c>
      <c r="H263" s="6" t="str">
        <f t="shared" si="15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>C264</f>
        <v>0</v>
      </c>
      <c r="G264" s="6">
        <f t="shared" si="14"/>
        <v>0</v>
      </c>
      <c r="H264" s="6" t="str">
        <f t="shared" si="15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4"/>
        <v>0</v>
      </c>
      <c r="H265" s="6" t="str">
        <f t="shared" si="15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>C266</f>
        <v>0</v>
      </c>
      <c r="G266" s="6">
        <f t="shared" si="14"/>
        <v>0</v>
      </c>
      <c r="H266" s="6" t="str">
        <f t="shared" si="15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>C267</f>
        <v>0</v>
      </c>
      <c r="G267" s="6">
        <f t="shared" si="14"/>
        <v>0</v>
      </c>
      <c r="H267" s="6" t="str">
        <f t="shared" si="15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>C268</f>
        <v>0</v>
      </c>
      <c r="G268" s="6">
        <f t="shared" si="14"/>
        <v>0</v>
      </c>
      <c r="H268" s="6" t="str">
        <f t="shared" si="15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>C269</f>
        <v>0</v>
      </c>
      <c r="G269" s="6">
        <f t="shared" si="14"/>
        <v>0</v>
      </c>
      <c r="H269" s="6" t="str">
        <f t="shared" si="15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4"/>
        <v>0</v>
      </c>
      <c r="H270" s="6" t="str">
        <f t="shared" si="15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>C271</f>
        <v>0</v>
      </c>
      <c r="G271" s="6">
        <f t="shared" si="14"/>
        <v>0</v>
      </c>
      <c r="H271" s="6" t="str">
        <f t="shared" si="15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>C272</f>
        <v>0</v>
      </c>
      <c r="G272" s="6">
        <f t="shared" si="14"/>
        <v>0</v>
      </c>
      <c r="H272" s="6" t="str">
        <f t="shared" si="15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4"/>
        <v>0</v>
      </c>
      <c r="H273" s="6" t="str">
        <f t="shared" si="15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>C274</f>
        <v>0</v>
      </c>
      <c r="G274" s="6">
        <f t="shared" si="14"/>
        <v>0</v>
      </c>
      <c r="H274" s="6" t="str">
        <f t="shared" si="15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>C275</f>
        <v>0</v>
      </c>
      <c r="G275" s="6">
        <f t="shared" si="14"/>
        <v>0</v>
      </c>
      <c r="H275" s="6" t="str">
        <f t="shared" si="15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>C276</f>
        <v>0</v>
      </c>
      <c r="G276" s="6">
        <f t="shared" si="14"/>
        <v>0</v>
      </c>
      <c r="H276" s="6" t="str">
        <f t="shared" si="15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4"/>
        <v>0</v>
      </c>
      <c r="H277" s="6" t="str">
        <f t="shared" si="15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>C278</f>
        <v>0</v>
      </c>
      <c r="G278" s="6">
        <f t="shared" si="14"/>
        <v>0</v>
      </c>
      <c r="H278" s="6" t="str">
        <f t="shared" si="15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>C279</f>
        <v>0</v>
      </c>
      <c r="G279" s="6">
        <f t="shared" si="14"/>
        <v>0</v>
      </c>
      <c r="H279" s="6" t="str">
        <f t="shared" si="15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4"/>
        <v>0</v>
      </c>
      <c r="H280" s="6" t="str">
        <f t="shared" si="15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4"/>
        <v>0</v>
      </c>
      <c r="H281" s="6" t="str">
        <f t="shared" si="15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ref="F282:F287" si="16">C282</f>
        <v>0</v>
      </c>
      <c r="G282" s="6">
        <f t="shared" si="14"/>
        <v>0</v>
      </c>
      <c r="H282" s="6" t="str">
        <f t="shared" si="15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6"/>
        <v>0</v>
      </c>
      <c r="G283" s="6">
        <f t="shared" si="14"/>
        <v>0</v>
      </c>
      <c r="H283" s="6" t="str">
        <f t="shared" si="15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6"/>
        <v>0</v>
      </c>
      <c r="G284" s="6">
        <f t="shared" si="14"/>
        <v>0</v>
      </c>
      <c r="H284" s="6" t="str">
        <f t="shared" si="15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6"/>
        <v>0</v>
      </c>
      <c r="G285" s="6">
        <f t="shared" si="14"/>
        <v>0</v>
      </c>
      <c r="H285" s="6" t="str">
        <f t="shared" si="15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6"/>
        <v>0</v>
      </c>
      <c r="G286" s="6">
        <f t="shared" si="14"/>
        <v>0</v>
      </c>
      <c r="H286" s="6" t="str">
        <f t="shared" si="15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6"/>
        <v>0</v>
      </c>
      <c r="G287" s="6">
        <f t="shared" si="14"/>
        <v>0</v>
      </c>
      <c r="H287" s="6" t="str">
        <f t="shared" si="15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4"/>
        <v>0</v>
      </c>
      <c r="H288" s="6" t="str">
        <f t="shared" si="15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>C289</f>
        <v>0</v>
      </c>
      <c r="G289" s="6">
        <f t="shared" si="14"/>
        <v>0</v>
      </c>
      <c r="H289" s="6" t="str">
        <f t="shared" si="15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>C290</f>
        <v>0</v>
      </c>
      <c r="G290" s="6">
        <f t="shared" si="14"/>
        <v>0</v>
      </c>
      <c r="H290" s="6" t="str">
        <f t="shared" si="15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4"/>
        <v>0</v>
      </c>
      <c r="H291" s="6" t="str">
        <f t="shared" si="15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>C292</f>
        <v>0</v>
      </c>
      <c r="G292" s="6">
        <f t="shared" si="14"/>
        <v>0</v>
      </c>
      <c r="H292" s="6" t="str">
        <f t="shared" si="15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>C293</f>
        <v>0</v>
      </c>
      <c r="G293" s="6">
        <f t="shared" si="14"/>
        <v>0</v>
      </c>
      <c r="H293" s="6" t="str">
        <f t="shared" si="15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4"/>
        <v>0</v>
      </c>
      <c r="H294" s="6" t="str">
        <f t="shared" si="15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>C295</f>
        <v>0</v>
      </c>
      <c r="G295" s="6">
        <f t="shared" si="14"/>
        <v>0</v>
      </c>
      <c r="H295" s="6" t="str">
        <f t="shared" si="15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4"/>
        <v>0</v>
      </c>
      <c r="H296" s="6" t="str">
        <f t="shared" si="15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ref="F297:F304" si="17">C297</f>
        <v>0</v>
      </c>
      <c r="G297" s="6">
        <f t="shared" si="14"/>
        <v>0</v>
      </c>
      <c r="H297" s="6" t="str">
        <f t="shared" si="15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7"/>
        <v>0</v>
      </c>
      <c r="G298" s="6">
        <f t="shared" si="14"/>
        <v>0</v>
      </c>
      <c r="H298" s="6" t="str">
        <f t="shared" si="15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7"/>
        <v>0</v>
      </c>
      <c r="G299" s="6">
        <f t="shared" si="14"/>
        <v>0</v>
      </c>
      <c r="H299" s="6" t="str">
        <f t="shared" si="15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7"/>
        <v>0</v>
      </c>
      <c r="G300" s="6">
        <f t="shared" si="14"/>
        <v>0</v>
      </c>
      <c r="H300" s="6" t="str">
        <f t="shared" si="15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7"/>
        <v>0</v>
      </c>
      <c r="G301" s="6">
        <f t="shared" si="14"/>
        <v>0</v>
      </c>
      <c r="H301" s="6" t="str">
        <f t="shared" si="15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7"/>
        <v>0</v>
      </c>
      <c r="G302" s="6">
        <f t="shared" si="14"/>
        <v>0</v>
      </c>
      <c r="H302" s="6" t="str">
        <f t="shared" si="15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7"/>
        <v>0</v>
      </c>
      <c r="G303" s="6">
        <f t="shared" si="14"/>
        <v>0</v>
      </c>
      <c r="H303" s="6" t="str">
        <f t="shared" si="15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7"/>
        <v>0</v>
      </c>
      <c r="G304" s="6">
        <f t="shared" si="14"/>
        <v>0</v>
      </c>
      <c r="H304" s="6" t="str">
        <f t="shared" si="15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4"/>
        <v>0</v>
      </c>
      <c r="H305" s="6" t="str">
        <f t="shared" si="15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>C306</f>
        <v>0</v>
      </c>
      <c r="G306" s="6">
        <f t="shared" si="14"/>
        <v>0</v>
      </c>
      <c r="H306" s="6" t="str">
        <f t="shared" si="15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4"/>
        <v>0</v>
      </c>
      <c r="H307" s="6" t="str">
        <f t="shared" si="15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ref="F308:F317" si="18">C308</f>
        <v>0</v>
      </c>
      <c r="G308" s="6">
        <f t="shared" si="14"/>
        <v>0</v>
      </c>
      <c r="H308" s="6" t="str">
        <f t="shared" si="15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8"/>
        <v>0</v>
      </c>
      <c r="G309" s="6">
        <f t="shared" si="14"/>
        <v>0</v>
      </c>
      <c r="H309" s="6" t="str">
        <f t="shared" si="15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8"/>
        <v>0</v>
      </c>
      <c r="G310" s="6">
        <f t="shared" si="14"/>
        <v>0</v>
      </c>
      <c r="H310" s="6" t="str">
        <f t="shared" si="15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8"/>
        <v>0</v>
      </c>
      <c r="G311" s="6">
        <f t="shared" si="14"/>
        <v>0</v>
      </c>
      <c r="H311" s="6" t="str">
        <f t="shared" si="15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8"/>
        <v>0</v>
      </c>
      <c r="G312" s="6">
        <f t="shared" si="14"/>
        <v>0</v>
      </c>
      <c r="H312" s="6" t="str">
        <f t="shared" si="15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8"/>
        <v>0</v>
      </c>
      <c r="G313" s="6">
        <f t="shared" si="14"/>
        <v>0</v>
      </c>
      <c r="H313" s="6" t="str">
        <f t="shared" si="15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8"/>
        <v>0</v>
      </c>
      <c r="G314" s="6">
        <f t="shared" si="14"/>
        <v>0</v>
      </c>
      <c r="H314" s="6" t="str">
        <f t="shared" si="15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8"/>
        <v>0</v>
      </c>
      <c r="G315" s="6">
        <f t="shared" si="14"/>
        <v>0</v>
      </c>
      <c r="H315" s="6" t="str">
        <f t="shared" si="15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8"/>
        <v>0</v>
      </c>
      <c r="G316" s="6">
        <f t="shared" si="14"/>
        <v>0</v>
      </c>
      <c r="H316" s="6" t="str">
        <f t="shared" si="15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8"/>
        <v>0</v>
      </c>
      <c r="G317" s="6">
        <f t="shared" si="14"/>
        <v>0</v>
      </c>
      <c r="H317" s="6" t="str">
        <f t="shared" si="15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4"/>
        <v>0</v>
      </c>
      <c r="H318" s="6" t="str">
        <f t="shared" si="15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>C319</f>
        <v>0</v>
      </c>
      <c r="G319" s="6">
        <f t="shared" si="14"/>
        <v>0</v>
      </c>
      <c r="H319" s="6" t="str">
        <f t="shared" si="15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>C320</f>
        <v>0</v>
      </c>
      <c r="G320" s="6">
        <f t="shared" si="14"/>
        <v>0</v>
      </c>
      <c r="H320" s="6" t="str">
        <f t="shared" si="15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>C321</f>
        <v>0</v>
      </c>
      <c r="G321" s="6">
        <f t="shared" si="14"/>
        <v>0</v>
      </c>
      <c r="H321" s="6" t="str">
        <f t="shared" si="15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>C322</f>
        <v>0</v>
      </c>
      <c r="G322" s="6">
        <f t="shared" ref="G322:G385" si="19">C322-F322</f>
        <v>0</v>
      </c>
      <c r="H322" s="6" t="str">
        <f t="shared" ref="H322:H385" si="20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>C323</f>
        <v>0</v>
      </c>
      <c r="G323" s="6">
        <f t="shared" si="19"/>
        <v>0</v>
      </c>
      <c r="H323" s="6" t="str">
        <f t="shared" si="20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C325+C329+C333</f>
        <v>0</v>
      </c>
      <c r="G324" s="6">
        <f t="shared" si="19"/>
        <v>0</v>
      </c>
      <c r="H324" s="6" t="str">
        <f t="shared" si="20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9"/>
        <v>0</v>
      </c>
      <c r="H325" s="6" t="str">
        <f t="shared" si="20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>C326</f>
        <v>0</v>
      </c>
      <c r="G326" s="6">
        <f t="shared" si="19"/>
        <v>0</v>
      </c>
      <c r="H326" s="6" t="str">
        <f t="shared" si="20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>C327</f>
        <v>0</v>
      </c>
      <c r="G327" s="6">
        <f t="shared" si="19"/>
        <v>0</v>
      </c>
      <c r="H327" s="6" t="str">
        <f t="shared" si="20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>C328</f>
        <v>0</v>
      </c>
      <c r="G328" s="6">
        <f t="shared" si="19"/>
        <v>0</v>
      </c>
      <c r="H328" s="6" t="str">
        <f t="shared" si="20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9"/>
        <v>0</v>
      </c>
      <c r="H329" s="6" t="str">
        <f t="shared" si="20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>C330</f>
        <v>0</v>
      </c>
      <c r="G330" s="6">
        <f t="shared" si="19"/>
        <v>0</v>
      </c>
      <c r="H330" s="6" t="str">
        <f t="shared" si="20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>C331</f>
        <v>0</v>
      </c>
      <c r="G331" s="6">
        <f t="shared" si="19"/>
        <v>0</v>
      </c>
      <c r="H331" s="6" t="str">
        <f t="shared" si="20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>C332</f>
        <v>0</v>
      </c>
      <c r="G332" s="6">
        <f t="shared" si="19"/>
        <v>0</v>
      </c>
      <c r="H332" s="6" t="str">
        <f t="shared" si="20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3" t="s">
        <v>2601</v>
      </c>
      <c r="E333" s="23" t="s">
        <v>330</v>
      </c>
      <c r="F333" s="6">
        <f>C334+C338+C341+C345</f>
        <v>0</v>
      </c>
      <c r="G333" s="6">
        <f t="shared" si="19"/>
        <v>0</v>
      </c>
      <c r="H333" s="6" t="str">
        <f t="shared" si="20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4" t="s">
        <v>2595</v>
      </c>
      <c r="E334" s="24" t="s">
        <v>339</v>
      </c>
      <c r="F334" s="6">
        <f>C335+C336+C337</f>
        <v>0</v>
      </c>
      <c r="G334" s="6">
        <f t="shared" si="19"/>
        <v>0</v>
      </c>
      <c r="H334" s="6" t="str">
        <f t="shared" si="20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>C335</f>
        <v>0</v>
      </c>
      <c r="G335" s="6">
        <f t="shared" si="19"/>
        <v>0</v>
      </c>
      <c r="H335" s="6" t="str">
        <f t="shared" si="20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>C336</f>
        <v>0</v>
      </c>
      <c r="G336" s="6">
        <f t="shared" si="19"/>
        <v>0</v>
      </c>
      <c r="H336" s="6" t="str">
        <f t="shared" si="20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>C337</f>
        <v>0</v>
      </c>
      <c r="G337" s="6">
        <f t="shared" si="19"/>
        <v>0</v>
      </c>
      <c r="H337" s="6" t="str">
        <f t="shared" si="20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4" t="s">
        <v>2602</v>
      </c>
      <c r="E338" s="24" t="s">
        <v>339</v>
      </c>
      <c r="F338" s="6">
        <f>C339+C340</f>
        <v>0</v>
      </c>
      <c r="G338" s="6">
        <f t="shared" si="19"/>
        <v>0</v>
      </c>
      <c r="H338" s="6" t="str">
        <f t="shared" si="20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>C339</f>
        <v>0</v>
      </c>
      <c r="G339" s="6">
        <f t="shared" si="19"/>
        <v>0</v>
      </c>
      <c r="H339" s="6" t="str">
        <f t="shared" si="20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>C340</f>
        <v>0</v>
      </c>
      <c r="G340" s="6">
        <f t="shared" si="19"/>
        <v>0</v>
      </c>
      <c r="H340" s="6" t="str">
        <f t="shared" si="20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4" t="s">
        <v>2599</v>
      </c>
      <c r="E341" s="24" t="s">
        <v>339</v>
      </c>
      <c r="F341" s="6">
        <f>C342+C343+C344</f>
        <v>0</v>
      </c>
      <c r="G341" s="6">
        <f t="shared" si="19"/>
        <v>0</v>
      </c>
      <c r="H341" s="6" t="str">
        <f t="shared" si="20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>C342</f>
        <v>0</v>
      </c>
      <c r="G342" s="6">
        <f t="shared" si="19"/>
        <v>0</v>
      </c>
      <c r="H342" s="6" t="str">
        <f t="shared" si="20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>C343</f>
        <v>0</v>
      </c>
      <c r="G343" s="6">
        <f t="shared" si="19"/>
        <v>0</v>
      </c>
      <c r="H343" s="6" t="str">
        <f t="shared" si="20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>C344</f>
        <v>0</v>
      </c>
      <c r="G344" s="6">
        <f t="shared" si="19"/>
        <v>0</v>
      </c>
      <c r="H344" s="6" t="str">
        <f t="shared" si="20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4" t="s">
        <v>2603</v>
      </c>
      <c r="E345" s="24" t="s">
        <v>339</v>
      </c>
      <c r="F345" s="6">
        <f>C346+C347+C348</f>
        <v>0</v>
      </c>
      <c r="G345" s="6">
        <f t="shared" si="19"/>
        <v>0</v>
      </c>
      <c r="H345" s="6" t="str">
        <f t="shared" si="20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>C346</f>
        <v>0</v>
      </c>
      <c r="G346" s="6">
        <f t="shared" si="19"/>
        <v>0</v>
      </c>
      <c r="H346" s="6" t="str">
        <f t="shared" si="20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>C347</f>
        <v>0</v>
      </c>
      <c r="G347" s="6">
        <f t="shared" si="19"/>
        <v>0</v>
      </c>
      <c r="H347" s="6" t="str">
        <f t="shared" si="20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>C348</f>
        <v>0</v>
      </c>
      <c r="G348" s="6">
        <f t="shared" si="19"/>
        <v>0</v>
      </c>
      <c r="H348" s="6" t="str">
        <f t="shared" si="20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>C349</f>
        <v>0</v>
      </c>
      <c r="G349" s="6">
        <f t="shared" si="19"/>
        <v>0</v>
      </c>
      <c r="H349" s="6" t="str">
        <f t="shared" si="20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>C350</f>
        <v>0</v>
      </c>
      <c r="G350" s="6">
        <f t="shared" si="19"/>
        <v>0</v>
      </c>
      <c r="H350" s="6" t="str">
        <f t="shared" si="20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9"/>
        <v>0</v>
      </c>
      <c r="H351" s="6" t="str">
        <f t="shared" si="20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9"/>
        <v>0</v>
      </c>
      <c r="H352" s="6" t="str">
        <f t="shared" si="20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>C353</f>
        <v>0</v>
      </c>
      <c r="G353" s="6">
        <f t="shared" si="19"/>
        <v>0</v>
      </c>
      <c r="H353" s="6" t="str">
        <f t="shared" si="20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>C354</f>
        <v>0</v>
      </c>
      <c r="G354" s="6">
        <f t="shared" si="19"/>
        <v>0</v>
      </c>
      <c r="H354" s="6" t="str">
        <f t="shared" si="20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>C355</f>
        <v>0</v>
      </c>
      <c r="G355" s="6">
        <f t="shared" si="19"/>
        <v>0</v>
      </c>
      <c r="H355" s="6" t="str">
        <f t="shared" si="20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9"/>
        <v>0</v>
      </c>
      <c r="H356" s="6" t="str">
        <f t="shared" si="20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>C357</f>
        <v>0</v>
      </c>
      <c r="G357" s="6">
        <f t="shared" si="19"/>
        <v>0</v>
      </c>
      <c r="H357" s="6" t="str">
        <f t="shared" si="20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>C358</f>
        <v>0</v>
      </c>
      <c r="G358" s="6">
        <f t="shared" si="19"/>
        <v>0</v>
      </c>
      <c r="H358" s="6" t="str">
        <f t="shared" si="20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>C359</f>
        <v>0</v>
      </c>
      <c r="G359" s="6">
        <f t="shared" si="19"/>
        <v>0</v>
      </c>
      <c r="H359" s="6" t="str">
        <f t="shared" si="20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>C360</f>
        <v>0</v>
      </c>
      <c r="G360" s="6">
        <f t="shared" si="19"/>
        <v>0</v>
      </c>
      <c r="H360" s="6" t="str">
        <f t="shared" si="20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9"/>
        <v>0</v>
      </c>
      <c r="H361" s="6" t="str">
        <f t="shared" si="20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>C362</f>
        <v>0</v>
      </c>
      <c r="G362" s="6">
        <f t="shared" si="19"/>
        <v>0</v>
      </c>
      <c r="H362" s="6" t="str">
        <f t="shared" si="20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>C363</f>
        <v>0</v>
      </c>
      <c r="G363" s="6">
        <f t="shared" si="19"/>
        <v>0</v>
      </c>
      <c r="H363" s="6" t="str">
        <f t="shared" si="20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>C364</f>
        <v>0</v>
      </c>
      <c r="G364" s="6">
        <f t="shared" si="19"/>
        <v>0</v>
      </c>
      <c r="H364" s="6" t="str">
        <f t="shared" si="20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9"/>
        <v>0</v>
      </c>
      <c r="H365" s="6" t="str">
        <f t="shared" si="20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>C366</f>
        <v>0</v>
      </c>
      <c r="G366" s="6">
        <f t="shared" si="19"/>
        <v>0</v>
      </c>
      <c r="H366" s="6" t="str">
        <f t="shared" si="20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>C367</f>
        <v>0</v>
      </c>
      <c r="G367" s="6">
        <f t="shared" si="19"/>
        <v>0</v>
      </c>
      <c r="H367" s="6" t="str">
        <f t="shared" si="20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9"/>
        <v>0</v>
      </c>
      <c r="H368" s="6" t="str">
        <f t="shared" si="20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ref="F369:F375" si="21">C369</f>
        <v>0</v>
      </c>
      <c r="G369" s="6">
        <f t="shared" si="19"/>
        <v>0</v>
      </c>
      <c r="H369" s="6" t="str">
        <f t="shared" si="20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21"/>
        <v>0</v>
      </c>
      <c r="G370" s="6">
        <f t="shared" si="19"/>
        <v>0</v>
      </c>
      <c r="H370" s="6" t="str">
        <f t="shared" si="20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21"/>
        <v>0</v>
      </c>
      <c r="G371" s="6">
        <f t="shared" si="19"/>
        <v>0</v>
      </c>
      <c r="H371" s="6" t="str">
        <f t="shared" si="20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21"/>
        <v>0</v>
      </c>
      <c r="G372" s="6">
        <f t="shared" si="19"/>
        <v>0</v>
      </c>
      <c r="H372" s="6" t="str">
        <f t="shared" si="20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21"/>
        <v>0</v>
      </c>
      <c r="G373" s="6">
        <f t="shared" si="19"/>
        <v>0</v>
      </c>
      <c r="H373" s="6" t="str">
        <f t="shared" si="20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21"/>
        <v>0</v>
      </c>
      <c r="G374" s="6">
        <f t="shared" si="19"/>
        <v>0</v>
      </c>
      <c r="H374" s="6" t="str">
        <f t="shared" si="20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21"/>
        <v>0</v>
      </c>
      <c r="G375" s="6">
        <f t="shared" si="19"/>
        <v>0</v>
      </c>
      <c r="H375" s="6" t="str">
        <f t="shared" si="20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9"/>
        <v>0</v>
      </c>
      <c r="H376" s="6" t="str">
        <f t="shared" si="20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ref="F377:F387" si="22">C377</f>
        <v>0</v>
      </c>
      <c r="G377" s="6">
        <f t="shared" si="19"/>
        <v>0</v>
      </c>
      <c r="H377" s="6" t="str">
        <f t="shared" si="20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22"/>
        <v>0</v>
      </c>
      <c r="G378" s="6">
        <f t="shared" si="19"/>
        <v>0</v>
      </c>
      <c r="H378" s="6" t="str">
        <f t="shared" si="20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22"/>
        <v>0</v>
      </c>
      <c r="G379" s="6">
        <f t="shared" si="19"/>
        <v>0</v>
      </c>
      <c r="H379" s="6" t="str">
        <f t="shared" si="20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22"/>
        <v>0</v>
      </c>
      <c r="G380" s="6">
        <f t="shared" si="19"/>
        <v>0</v>
      </c>
      <c r="H380" s="6" t="str">
        <f t="shared" si="20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22"/>
        <v>0</v>
      </c>
      <c r="G381" s="6">
        <f t="shared" si="19"/>
        <v>0</v>
      </c>
      <c r="H381" s="6" t="str">
        <f t="shared" si="20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22"/>
        <v>0</v>
      </c>
      <c r="G382" s="6">
        <f t="shared" si="19"/>
        <v>0</v>
      </c>
      <c r="H382" s="6" t="str">
        <f t="shared" si="20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22"/>
        <v>0</v>
      </c>
      <c r="G383" s="6">
        <f t="shared" si="19"/>
        <v>0</v>
      </c>
      <c r="H383" s="6" t="str">
        <f t="shared" si="20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22"/>
        <v>0</v>
      </c>
      <c r="G384" s="6">
        <f t="shared" si="19"/>
        <v>0</v>
      </c>
      <c r="H384" s="6" t="str">
        <f t="shared" si="20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22"/>
        <v>0</v>
      </c>
      <c r="G385" s="6">
        <f t="shared" si="19"/>
        <v>0</v>
      </c>
      <c r="H385" s="6" t="str">
        <f t="shared" si="20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22"/>
        <v>0</v>
      </c>
      <c r="G386" s="6">
        <f t="shared" ref="G386:G449" si="23">C386-F386</f>
        <v>0</v>
      </c>
      <c r="H386" s="6" t="str">
        <f t="shared" ref="H386:H449" si="24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22"/>
        <v>0</v>
      </c>
      <c r="G387" s="6">
        <f t="shared" si="23"/>
        <v>0</v>
      </c>
      <c r="H387" s="6" t="str">
        <f t="shared" si="24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23"/>
        <v>0</v>
      </c>
      <c r="H388" s="6" t="str">
        <f t="shared" si="24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>C389</f>
        <v>0</v>
      </c>
      <c r="G389" s="6">
        <f t="shared" si="23"/>
        <v>0</v>
      </c>
      <c r="H389" s="6" t="str">
        <f t="shared" si="24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>C390</f>
        <v>0</v>
      </c>
      <c r="G390" s="6">
        <f t="shared" si="23"/>
        <v>0</v>
      </c>
      <c r="H390" s="6" t="str">
        <f t="shared" si="24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>C391</f>
        <v>0</v>
      </c>
      <c r="G391" s="6">
        <f t="shared" si="23"/>
        <v>0</v>
      </c>
      <c r="H391" s="6" t="str">
        <f t="shared" si="24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23"/>
        <v>0</v>
      </c>
      <c r="H392" s="6" t="str">
        <f t="shared" si="24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23"/>
        <v>0</v>
      </c>
      <c r="H393" s="6" t="str">
        <f t="shared" si="24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>C394</f>
        <v>0</v>
      </c>
      <c r="G394" s="6">
        <f t="shared" si="23"/>
        <v>0</v>
      </c>
      <c r="H394" s="6" t="str">
        <f t="shared" si="24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>C395</f>
        <v>0</v>
      </c>
      <c r="G395" s="6">
        <f t="shared" si="23"/>
        <v>0</v>
      </c>
      <c r="H395" s="6" t="str">
        <f t="shared" si="24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>C396</f>
        <v>0</v>
      </c>
      <c r="G396" s="6">
        <f t="shared" si="23"/>
        <v>0</v>
      </c>
      <c r="H396" s="6" t="str">
        <f t="shared" si="24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23"/>
        <v>0</v>
      </c>
      <c r="H397" s="6" t="str">
        <f t="shared" si="24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ref="F398:F403" si="25">C398</f>
        <v>0</v>
      </c>
      <c r="G398" s="6">
        <f t="shared" si="23"/>
        <v>0</v>
      </c>
      <c r="H398" s="6" t="str">
        <f t="shared" si="24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5"/>
        <v>0</v>
      </c>
      <c r="G399" s="6">
        <f t="shared" si="23"/>
        <v>0</v>
      </c>
      <c r="H399" s="6" t="str">
        <f t="shared" si="24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5"/>
        <v>0</v>
      </c>
      <c r="G400" s="6">
        <f t="shared" si="23"/>
        <v>0</v>
      </c>
      <c r="H400" s="6" t="str">
        <f t="shared" si="24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5"/>
        <v>0</v>
      </c>
      <c r="G401" s="6">
        <f t="shared" si="23"/>
        <v>0</v>
      </c>
      <c r="H401" s="6" t="str">
        <f t="shared" si="24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5"/>
        <v>0</v>
      </c>
      <c r="G402" s="6">
        <f t="shared" si="23"/>
        <v>0</v>
      </c>
      <c r="H402" s="6" t="str">
        <f t="shared" si="24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5"/>
        <v>0</v>
      </c>
      <c r="G403" s="6">
        <f t="shared" si="23"/>
        <v>0</v>
      </c>
      <c r="H403" s="6" t="str">
        <f t="shared" si="24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23"/>
        <v>0</v>
      </c>
      <c r="H404" s="6" t="str">
        <f t="shared" si="24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23"/>
        <v>0</v>
      </c>
      <c r="H405" s="6" t="str">
        <f t="shared" si="24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23"/>
        <v>0</v>
      </c>
      <c r="H406" s="6" t="str">
        <f t="shared" si="24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>C407</f>
        <v>0</v>
      </c>
      <c r="G407" s="6">
        <f t="shared" si="23"/>
        <v>0</v>
      </c>
      <c r="H407" s="6" t="str">
        <f t="shared" si="24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>C408</f>
        <v>0</v>
      </c>
      <c r="G408" s="6">
        <f t="shared" si="23"/>
        <v>0</v>
      </c>
      <c r="H408" s="6" t="str">
        <f t="shared" si="24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>C409</f>
        <v>0</v>
      </c>
      <c r="G409" s="6">
        <f t="shared" si="23"/>
        <v>0</v>
      </c>
      <c r="H409" s="6" t="str">
        <f t="shared" si="24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23"/>
        <v>0</v>
      </c>
      <c r="H410" s="6" t="str">
        <f t="shared" si="24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>C411</f>
        <v>0</v>
      </c>
      <c r="G411" s="6">
        <f t="shared" si="23"/>
        <v>0</v>
      </c>
      <c r="H411" s="6" t="str">
        <f t="shared" si="24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>C412</f>
        <v>0</v>
      </c>
      <c r="G412" s="6">
        <f t="shared" si="23"/>
        <v>0</v>
      </c>
      <c r="H412" s="6" t="str">
        <f t="shared" si="24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>C413</f>
        <v>0</v>
      </c>
      <c r="G413" s="6">
        <f t="shared" si="23"/>
        <v>0</v>
      </c>
      <c r="H413" s="6" t="str">
        <f t="shared" si="24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>C414</f>
        <v>0</v>
      </c>
      <c r="G414" s="6">
        <f t="shared" si="23"/>
        <v>0</v>
      </c>
      <c r="H414" s="6" t="str">
        <f t="shared" si="24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23"/>
        <v>0</v>
      </c>
      <c r="H415" s="6" t="str">
        <f t="shared" si="24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23"/>
        <v>0</v>
      </c>
      <c r="H416" s="6" t="str">
        <f t="shared" si="24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ref="F417:F422" si="26">C417</f>
        <v>0</v>
      </c>
      <c r="G417" s="6">
        <f t="shared" si="23"/>
        <v>0</v>
      </c>
      <c r="H417" s="6" t="str">
        <f t="shared" si="24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6"/>
        <v>0</v>
      </c>
      <c r="G418" s="6">
        <f t="shared" si="23"/>
        <v>0</v>
      </c>
      <c r="H418" s="6" t="str">
        <f t="shared" si="24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6"/>
        <v>0</v>
      </c>
      <c r="G419" s="6">
        <f t="shared" si="23"/>
        <v>0</v>
      </c>
      <c r="H419" s="6" t="str">
        <f t="shared" si="24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6"/>
        <v>0</v>
      </c>
      <c r="G420" s="6">
        <f t="shared" si="23"/>
        <v>0</v>
      </c>
      <c r="H420" s="6" t="str">
        <f t="shared" si="24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6"/>
        <v>0</v>
      </c>
      <c r="G421" s="6">
        <f t="shared" si="23"/>
        <v>0</v>
      </c>
      <c r="H421" s="6" t="str">
        <f t="shared" si="24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6"/>
        <v>0</v>
      </c>
      <c r="G422" s="6">
        <f t="shared" si="23"/>
        <v>0</v>
      </c>
      <c r="H422" s="6" t="str">
        <f t="shared" si="24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23"/>
        <v>0</v>
      </c>
      <c r="H423" s="6" t="str">
        <f t="shared" si="24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>C424</f>
        <v>0</v>
      </c>
      <c r="G424" s="6">
        <f t="shared" si="23"/>
        <v>0</v>
      </c>
      <c r="H424" s="6" t="str">
        <f t="shared" si="24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>C425</f>
        <v>0</v>
      </c>
      <c r="G425" s="6">
        <f t="shared" si="23"/>
        <v>0</v>
      </c>
      <c r="H425" s="6" t="str">
        <f t="shared" si="24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>C426</f>
        <v>0</v>
      </c>
      <c r="G426" s="6">
        <f t="shared" si="23"/>
        <v>0</v>
      </c>
      <c r="H426" s="6" t="str">
        <f t="shared" si="24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>C427</f>
        <v>0</v>
      </c>
      <c r="G427" s="6">
        <f t="shared" si="23"/>
        <v>0</v>
      </c>
      <c r="H427" s="6" t="str">
        <f t="shared" si="24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23"/>
        <v>0</v>
      </c>
      <c r="H428" s="6" t="str">
        <f t="shared" si="24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>C429</f>
        <v>0</v>
      </c>
      <c r="G429" s="6">
        <f t="shared" si="23"/>
        <v>0</v>
      </c>
      <c r="H429" s="6" t="str">
        <f t="shared" si="24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>C430</f>
        <v>0</v>
      </c>
      <c r="G430" s="6">
        <f t="shared" si="23"/>
        <v>0</v>
      </c>
      <c r="H430" s="6" t="str">
        <f t="shared" si="24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>C431</f>
        <v>0</v>
      </c>
      <c r="G431" s="6">
        <f t="shared" si="23"/>
        <v>0</v>
      </c>
      <c r="H431" s="6" t="str">
        <f t="shared" si="24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>C432</f>
        <v>0</v>
      </c>
      <c r="G432" s="6">
        <f t="shared" si="23"/>
        <v>0</v>
      </c>
      <c r="H432" s="6" t="str">
        <f t="shared" si="24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23"/>
        <v>0</v>
      </c>
      <c r="H433" s="6" t="str">
        <f t="shared" si="24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23"/>
        <v>0</v>
      </c>
      <c r="H434" s="6" t="str">
        <f t="shared" si="24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ref="F435:F440" si="27">C435</f>
        <v>0</v>
      </c>
      <c r="G435" s="6">
        <f t="shared" si="23"/>
        <v>0</v>
      </c>
      <c r="H435" s="6" t="str">
        <f t="shared" si="24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7"/>
        <v>0</v>
      </c>
      <c r="G436" s="6">
        <f t="shared" si="23"/>
        <v>0</v>
      </c>
      <c r="H436" s="6" t="str">
        <f t="shared" si="24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7"/>
        <v>0</v>
      </c>
      <c r="G437" s="6">
        <f t="shared" si="23"/>
        <v>0</v>
      </c>
      <c r="H437" s="6" t="str">
        <f t="shared" si="24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7"/>
        <v>0</v>
      </c>
      <c r="G438" s="6">
        <f t="shared" si="23"/>
        <v>0</v>
      </c>
      <c r="H438" s="6" t="str">
        <f t="shared" si="24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7"/>
        <v>0</v>
      </c>
      <c r="G439" s="6">
        <f t="shared" si="23"/>
        <v>0</v>
      </c>
      <c r="H439" s="6" t="str">
        <f t="shared" si="24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7"/>
        <v>0</v>
      </c>
      <c r="G440" s="6">
        <f t="shared" si="23"/>
        <v>0</v>
      </c>
      <c r="H440" s="6" t="str">
        <f t="shared" si="24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</f>
        <v>0</v>
      </c>
      <c r="G441" s="6">
        <f t="shared" si="23"/>
        <v>0</v>
      </c>
      <c r="H441" s="6" t="str">
        <f t="shared" si="24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23"/>
        <v>0</v>
      </c>
      <c r="H442" s="6" t="str">
        <f t="shared" si="24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23"/>
        <v>0</v>
      </c>
      <c r="H443" s="6" t="str">
        <f t="shared" si="24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>C444</f>
        <v>0</v>
      </c>
      <c r="G444" s="6">
        <f t="shared" si="23"/>
        <v>0</v>
      </c>
      <c r="H444" s="6" t="str">
        <f t="shared" si="24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>C445</f>
        <v>0</v>
      </c>
      <c r="G445" s="6">
        <f t="shared" si="23"/>
        <v>0</v>
      </c>
      <c r="H445" s="6" t="str">
        <f t="shared" si="24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>C446</f>
        <v>0</v>
      </c>
      <c r="G446" s="6">
        <f t="shared" si="23"/>
        <v>0</v>
      </c>
      <c r="H446" s="6" t="str">
        <f t="shared" si="24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>C447</f>
        <v>0</v>
      </c>
      <c r="G447" s="6">
        <f t="shared" si="23"/>
        <v>0</v>
      </c>
      <c r="H447" s="6" t="str">
        <f t="shared" si="24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23"/>
        <v>0</v>
      </c>
      <c r="H448" s="6" t="str">
        <f t="shared" si="24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>C449</f>
        <v>0</v>
      </c>
      <c r="G449" s="6">
        <f t="shared" si="23"/>
        <v>0</v>
      </c>
      <c r="H449" s="6" t="str">
        <f t="shared" si="24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>C450</f>
        <v>0</v>
      </c>
      <c r="G450" s="6">
        <f t="shared" ref="G450:G513" si="28">C450-F450</f>
        <v>0</v>
      </c>
      <c r="H450" s="6" t="str">
        <f t="shared" ref="H450:H513" si="29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8"/>
        <v>0</v>
      </c>
      <c r="H451" s="6" t="str">
        <f t="shared" si="29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>C452</f>
        <v>0</v>
      </c>
      <c r="G452" s="6">
        <f t="shared" si="28"/>
        <v>0</v>
      </c>
      <c r="H452" s="6" t="str">
        <f t="shared" si="29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8"/>
        <v>0</v>
      </c>
      <c r="H453" s="6" t="str">
        <f t="shared" si="29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>C454</f>
        <v>0</v>
      </c>
      <c r="G454" s="6">
        <f t="shared" si="28"/>
        <v>0</v>
      </c>
      <c r="H454" s="6" t="str">
        <f t="shared" si="29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>C455</f>
        <v>0</v>
      </c>
      <c r="G455" s="6">
        <f t="shared" si="28"/>
        <v>0</v>
      </c>
      <c r="H455" s="6" t="str">
        <f t="shared" si="29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8"/>
        <v>0</v>
      </c>
      <c r="H456" s="6" t="str">
        <f t="shared" si="29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ref="F457:F470" si="30">C457</f>
        <v>0</v>
      </c>
      <c r="G457" s="6">
        <f t="shared" si="28"/>
        <v>0</v>
      </c>
      <c r="H457" s="6" t="str">
        <f t="shared" si="29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30"/>
        <v>0</v>
      </c>
      <c r="G458" s="6">
        <f t="shared" si="28"/>
        <v>0</v>
      </c>
      <c r="H458" s="6" t="str">
        <f t="shared" si="29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30"/>
        <v>0</v>
      </c>
      <c r="G459" s="6">
        <f t="shared" si="28"/>
        <v>0</v>
      </c>
      <c r="H459" s="6" t="str">
        <f t="shared" si="29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30"/>
        <v>0</v>
      </c>
      <c r="G460" s="6">
        <f t="shared" si="28"/>
        <v>0</v>
      </c>
      <c r="H460" s="6" t="str">
        <f t="shared" si="29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30"/>
        <v>0</v>
      </c>
      <c r="G461" s="6">
        <f t="shared" si="28"/>
        <v>0</v>
      </c>
      <c r="H461" s="6" t="str">
        <f t="shared" si="29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30"/>
        <v>0</v>
      </c>
      <c r="G462" s="6">
        <f t="shared" si="28"/>
        <v>0</v>
      </c>
      <c r="H462" s="6" t="str">
        <f t="shared" si="29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30"/>
        <v>0</v>
      </c>
      <c r="G463" s="6">
        <f t="shared" si="28"/>
        <v>0</v>
      </c>
      <c r="H463" s="6" t="str">
        <f t="shared" si="29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30"/>
        <v>0</v>
      </c>
      <c r="G464" s="6">
        <f t="shared" si="28"/>
        <v>0</v>
      </c>
      <c r="H464" s="6" t="str">
        <f t="shared" si="29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30"/>
        <v>0</v>
      </c>
      <c r="G465" s="6">
        <f t="shared" si="28"/>
        <v>0</v>
      </c>
      <c r="H465" s="6" t="str">
        <f t="shared" si="29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30"/>
        <v>0</v>
      </c>
      <c r="G466" s="6">
        <f t="shared" si="28"/>
        <v>0</v>
      </c>
      <c r="H466" s="6" t="str">
        <f t="shared" si="29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30"/>
        <v>0</v>
      </c>
      <c r="G467" s="6">
        <f t="shared" si="28"/>
        <v>0</v>
      </c>
      <c r="H467" s="6" t="str">
        <f t="shared" si="29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30"/>
        <v>0</v>
      </c>
      <c r="G468" s="6">
        <f t="shared" si="28"/>
        <v>0</v>
      </c>
      <c r="H468" s="6" t="str">
        <f t="shared" si="29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30"/>
        <v>0</v>
      </c>
      <c r="G469" s="6">
        <f t="shared" si="28"/>
        <v>0</v>
      </c>
      <c r="H469" s="6" t="str">
        <f t="shared" si="29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30"/>
        <v>0</v>
      </c>
      <c r="G470" s="6">
        <f t="shared" si="28"/>
        <v>0</v>
      </c>
      <c r="H470" s="6" t="str">
        <f t="shared" si="29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8"/>
        <v>0</v>
      </c>
      <c r="H471" s="6" t="str">
        <f t="shared" si="29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>C472</f>
        <v>0</v>
      </c>
      <c r="G472" s="6">
        <f t="shared" si="28"/>
        <v>0</v>
      </c>
      <c r="H472" s="6" t="str">
        <f t="shared" si="29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8"/>
        <v>0</v>
      </c>
      <c r="H473" s="6" t="str">
        <f t="shared" si="29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>C474</f>
        <v>0</v>
      </c>
      <c r="G474" s="6">
        <f t="shared" si="28"/>
        <v>0</v>
      </c>
      <c r="H474" s="6" t="str">
        <f t="shared" si="29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>C475</f>
        <v>0</v>
      </c>
      <c r="G475" s="6">
        <f t="shared" si="28"/>
        <v>0</v>
      </c>
      <c r="H475" s="6" t="str">
        <f t="shared" si="29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8"/>
        <v>0</v>
      </c>
      <c r="H476" s="6" t="str">
        <f t="shared" si="29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>C477</f>
        <v>0</v>
      </c>
      <c r="G477" s="6">
        <f t="shared" si="28"/>
        <v>0</v>
      </c>
      <c r="H477" s="6" t="str">
        <f t="shared" si="29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>C478</f>
        <v>0</v>
      </c>
      <c r="G478" s="6">
        <f t="shared" si="28"/>
        <v>0</v>
      </c>
      <c r="H478" s="6" t="str">
        <f t="shared" si="29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>C479</f>
        <v>0</v>
      </c>
      <c r="G479" s="6">
        <f t="shared" si="28"/>
        <v>0</v>
      </c>
      <c r="H479" s="6" t="str">
        <f t="shared" si="29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8"/>
        <v>0</v>
      </c>
      <c r="H480" s="6" t="str">
        <f t="shared" si="29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8"/>
        <v>0</v>
      </c>
      <c r="H481" s="6" t="str">
        <f t="shared" si="29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>C482</f>
        <v>0</v>
      </c>
      <c r="G482" s="6">
        <f t="shared" si="28"/>
        <v>0</v>
      </c>
      <c r="H482" s="6" t="str">
        <f t="shared" si="29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>C483</f>
        <v>0</v>
      </c>
      <c r="G483" s="6">
        <f t="shared" si="28"/>
        <v>0</v>
      </c>
      <c r="H483" s="6" t="str">
        <f t="shared" si="29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>C484</f>
        <v>0</v>
      </c>
      <c r="G484" s="6">
        <f t="shared" si="28"/>
        <v>0</v>
      </c>
      <c r="H484" s="6" t="str">
        <f t="shared" si="29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8"/>
        <v>0</v>
      </c>
      <c r="H485" s="6" t="str">
        <f t="shared" si="29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>C486</f>
        <v>0</v>
      </c>
      <c r="G486" s="6">
        <f t="shared" si="28"/>
        <v>0</v>
      </c>
      <c r="H486" s="6" t="str">
        <f t="shared" si="29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>C487</f>
        <v>0</v>
      </c>
      <c r="G487" s="6">
        <f t="shared" si="28"/>
        <v>0</v>
      </c>
      <c r="H487" s="6" t="str">
        <f t="shared" si="29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>C488</f>
        <v>0</v>
      </c>
      <c r="G488" s="6">
        <f t="shared" si="28"/>
        <v>0</v>
      </c>
      <c r="H488" s="6" t="str">
        <f t="shared" si="29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8"/>
        <v>0</v>
      </c>
      <c r="H489" s="6" t="str">
        <f t="shared" si="29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>C490</f>
        <v>0</v>
      </c>
      <c r="G490" s="6">
        <f t="shared" si="28"/>
        <v>0</v>
      </c>
      <c r="H490" s="6" t="str">
        <f t="shared" si="29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>C491</f>
        <v>0</v>
      </c>
      <c r="G491" s="6">
        <f t="shared" si="28"/>
        <v>0</v>
      </c>
      <c r="H491" s="6" t="str">
        <f t="shared" si="29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8"/>
        <v>0</v>
      </c>
      <c r="H492" s="6" t="str">
        <f t="shared" si="29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>C493</f>
        <v>0</v>
      </c>
      <c r="G493" s="6">
        <f t="shared" si="28"/>
        <v>0</v>
      </c>
      <c r="H493" s="6" t="str">
        <f t="shared" si="29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>C494</f>
        <v>0</v>
      </c>
      <c r="G494" s="6">
        <f t="shared" si="28"/>
        <v>0</v>
      </c>
      <c r="H494" s="6" t="str">
        <f t="shared" si="29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C496+C507+C518+C521+C524+C531</f>
        <v>0</v>
      </c>
      <c r="G495" s="6">
        <f t="shared" si="28"/>
        <v>0</v>
      </c>
      <c r="H495" s="6" t="str">
        <f t="shared" si="29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8"/>
        <v>0</v>
      </c>
      <c r="H496" s="6" t="str">
        <f t="shared" si="29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8"/>
        <v>0</v>
      </c>
      <c r="H497" s="6" t="str">
        <f t="shared" si="29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>C498</f>
        <v>0</v>
      </c>
      <c r="G498" s="6">
        <f t="shared" si="28"/>
        <v>0</v>
      </c>
      <c r="H498" s="6" t="str">
        <f t="shared" si="29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>C499</f>
        <v>0</v>
      </c>
      <c r="G499" s="6">
        <f t="shared" si="28"/>
        <v>0</v>
      </c>
      <c r="H499" s="6" t="str">
        <f t="shared" si="29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>C500</f>
        <v>0</v>
      </c>
      <c r="G500" s="6">
        <f t="shared" si="28"/>
        <v>0</v>
      </c>
      <c r="H500" s="6" t="str">
        <f t="shared" si="29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8"/>
        <v>0</v>
      </c>
      <c r="H501" s="6" t="str">
        <f t="shared" si="29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>C502</f>
        <v>0</v>
      </c>
      <c r="G502" s="6">
        <f t="shared" si="28"/>
        <v>0</v>
      </c>
      <c r="H502" s="6" t="str">
        <f t="shared" si="29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>C503</f>
        <v>0</v>
      </c>
      <c r="G503" s="6">
        <f t="shared" si="28"/>
        <v>0</v>
      </c>
      <c r="H503" s="6" t="str">
        <f t="shared" si="29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>C504</f>
        <v>0</v>
      </c>
      <c r="G504" s="6">
        <f t="shared" si="28"/>
        <v>0</v>
      </c>
      <c r="H504" s="6" t="str">
        <f t="shared" si="29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>C505</f>
        <v>0</v>
      </c>
      <c r="G505" s="6">
        <f t="shared" si="28"/>
        <v>0</v>
      </c>
      <c r="H505" s="6" t="str">
        <f t="shared" si="29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>C506</f>
        <v>0</v>
      </c>
      <c r="G506" s="6">
        <f t="shared" si="28"/>
        <v>0</v>
      </c>
      <c r="H506" s="6" t="str">
        <f t="shared" si="29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8"/>
        <v>0</v>
      </c>
      <c r="H507" s="6" t="str">
        <f t="shared" si="29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8"/>
        <v>0</v>
      </c>
      <c r="H508" s="6" t="str">
        <f t="shared" si="29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>C509</f>
        <v>0</v>
      </c>
      <c r="G509" s="6">
        <f t="shared" si="28"/>
        <v>0</v>
      </c>
      <c r="H509" s="6" t="str">
        <f t="shared" si="29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>C510</f>
        <v>0</v>
      </c>
      <c r="G510" s="6">
        <f t="shared" si="28"/>
        <v>0</v>
      </c>
      <c r="H510" s="6" t="str">
        <f t="shared" si="29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>C511</f>
        <v>0</v>
      </c>
      <c r="G511" s="6">
        <f t="shared" si="28"/>
        <v>0</v>
      </c>
      <c r="H511" s="6" t="str">
        <f t="shared" si="29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8"/>
        <v>0</v>
      </c>
      <c r="H512" s="6" t="str">
        <f t="shared" si="29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>C513</f>
        <v>0</v>
      </c>
      <c r="G513" s="6">
        <f t="shared" si="28"/>
        <v>0</v>
      </c>
      <c r="H513" s="6" t="str">
        <f t="shared" si="29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>C514</f>
        <v>0</v>
      </c>
      <c r="G514" s="6">
        <f t="shared" ref="G514:G577" si="31">C514-F514</f>
        <v>0</v>
      </c>
      <c r="H514" s="6" t="str">
        <f t="shared" ref="H514:H577" si="32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>C515</f>
        <v>0</v>
      </c>
      <c r="G515" s="6">
        <f t="shared" si="31"/>
        <v>0</v>
      </c>
      <c r="H515" s="6" t="str">
        <f t="shared" si="32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>C516</f>
        <v>0</v>
      </c>
      <c r="G516" s="6">
        <f t="shared" si="31"/>
        <v>0</v>
      </c>
      <c r="H516" s="6" t="str">
        <f t="shared" si="32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>C517</f>
        <v>0</v>
      </c>
      <c r="G517" s="6">
        <f t="shared" si="31"/>
        <v>0</v>
      </c>
      <c r="H517" s="6" t="str">
        <f t="shared" si="32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31"/>
        <v>0</v>
      </c>
      <c r="H518" s="6" t="str">
        <f t="shared" si="32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>C519</f>
        <v>0</v>
      </c>
      <c r="G519" s="6">
        <f t="shared" si="31"/>
        <v>0</v>
      </c>
      <c r="H519" s="6" t="str">
        <f t="shared" si="32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>C520</f>
        <v>0</v>
      </c>
      <c r="G520" s="6">
        <f t="shared" si="31"/>
        <v>0</v>
      </c>
      <c r="H520" s="6" t="str">
        <f t="shared" si="32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31"/>
        <v>0</v>
      </c>
      <c r="H521" s="6" t="str">
        <f t="shared" si="32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>C522</f>
        <v>0</v>
      </c>
      <c r="G522" s="6">
        <f t="shared" si="31"/>
        <v>0</v>
      </c>
      <c r="H522" s="6" t="str">
        <f t="shared" si="32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>C523</f>
        <v>0</v>
      </c>
      <c r="G523" s="6">
        <f t="shared" si="31"/>
        <v>0</v>
      </c>
      <c r="H523" s="6" t="str">
        <f t="shared" si="32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45" t="s">
        <v>2713</v>
      </c>
      <c r="E524" s="45" t="s">
        <v>447</v>
      </c>
      <c r="F524" s="6">
        <f>C525+C528</f>
        <v>0</v>
      </c>
      <c r="G524" s="6">
        <f t="shared" si="31"/>
        <v>0</v>
      </c>
      <c r="H524" s="6" t="str">
        <f t="shared" si="32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31"/>
        <v>0</v>
      </c>
      <c r="H525" s="6" t="str">
        <f t="shared" si="32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>C526</f>
        <v>0</v>
      </c>
      <c r="G526" s="6">
        <f t="shared" si="31"/>
        <v>0</v>
      </c>
      <c r="H526" s="6" t="str">
        <f t="shared" si="32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>C527</f>
        <v>0</v>
      </c>
      <c r="G527" s="6">
        <f t="shared" si="31"/>
        <v>0</v>
      </c>
      <c r="H527" s="6" t="str">
        <f t="shared" si="32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31"/>
        <v>0</v>
      </c>
      <c r="H528" s="6" t="str">
        <f t="shared" si="32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>C529</f>
        <v>0</v>
      </c>
      <c r="G529" s="6">
        <f t="shared" si="31"/>
        <v>0</v>
      </c>
      <c r="H529" s="6" t="str">
        <f t="shared" si="32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>C530</f>
        <v>0</v>
      </c>
      <c r="G530" s="6">
        <f t="shared" si="31"/>
        <v>0</v>
      </c>
      <c r="H530" s="6" t="str">
        <f t="shared" si="32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45" t="s">
        <v>2720</v>
      </c>
      <c r="E531" s="45" t="s">
        <v>447</v>
      </c>
      <c r="F531" s="6">
        <f>C532+C535+C545</f>
        <v>0</v>
      </c>
      <c r="G531" s="6">
        <f t="shared" si="31"/>
        <v>0</v>
      </c>
      <c r="H531" s="6" t="str">
        <f t="shared" si="32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31"/>
        <v>0</v>
      </c>
      <c r="H532" s="6" t="str">
        <f t="shared" si="32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>C533</f>
        <v>0</v>
      </c>
      <c r="G533" s="6">
        <f t="shared" si="31"/>
        <v>0</v>
      </c>
      <c r="H533" s="6" t="str">
        <f t="shared" si="32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>C534</f>
        <v>0</v>
      </c>
      <c r="G534" s="6">
        <f t="shared" si="31"/>
        <v>0</v>
      </c>
      <c r="H534" s="6" t="str">
        <f t="shared" si="32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31"/>
        <v>0</v>
      </c>
      <c r="H535" s="6" t="str">
        <f t="shared" si="32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ref="F536:F544" si="33">C536</f>
        <v>0</v>
      </c>
      <c r="G536" s="6">
        <f t="shared" si="31"/>
        <v>0</v>
      </c>
      <c r="H536" s="6" t="str">
        <f t="shared" si="32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33"/>
        <v>0</v>
      </c>
      <c r="G537" s="6">
        <f t="shared" si="31"/>
        <v>0</v>
      </c>
      <c r="H537" s="6" t="str">
        <f t="shared" si="32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33"/>
        <v>0</v>
      </c>
      <c r="G538" s="6">
        <f t="shared" si="31"/>
        <v>0</v>
      </c>
      <c r="H538" s="6" t="str">
        <f t="shared" si="32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33"/>
        <v>0</v>
      </c>
      <c r="G539" s="6">
        <f t="shared" si="31"/>
        <v>0</v>
      </c>
      <c r="H539" s="6" t="str">
        <f t="shared" si="32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33"/>
        <v>0</v>
      </c>
      <c r="G540" s="6">
        <f t="shared" si="31"/>
        <v>0</v>
      </c>
      <c r="H540" s="6" t="str">
        <f t="shared" si="32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33"/>
        <v>0</v>
      </c>
      <c r="G541" s="6">
        <f t="shared" si="31"/>
        <v>0</v>
      </c>
      <c r="H541" s="6" t="str">
        <f t="shared" si="32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33"/>
        <v>0</v>
      </c>
      <c r="G542" s="6">
        <f t="shared" si="31"/>
        <v>0</v>
      </c>
      <c r="H542" s="6" t="str">
        <f t="shared" si="32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33"/>
        <v>0</v>
      </c>
      <c r="G543" s="6">
        <f t="shared" si="31"/>
        <v>0</v>
      </c>
      <c r="H543" s="6" t="str">
        <f t="shared" si="32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33"/>
        <v>0</v>
      </c>
      <c r="G544" s="6">
        <f t="shared" si="31"/>
        <v>0</v>
      </c>
      <c r="H544" s="6" t="str">
        <f t="shared" si="32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31"/>
        <v>0</v>
      </c>
      <c r="H545" s="6" t="str">
        <f t="shared" si="32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ref="F546:F552" si="34">C546</f>
        <v>0</v>
      </c>
      <c r="G546" s="6">
        <f t="shared" si="31"/>
        <v>0</v>
      </c>
      <c r="H546" s="6" t="str">
        <f t="shared" si="32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34"/>
        <v>0</v>
      </c>
      <c r="G547" s="6">
        <f t="shared" si="31"/>
        <v>0</v>
      </c>
      <c r="H547" s="6" t="str">
        <f t="shared" si="32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34"/>
        <v>0</v>
      </c>
      <c r="G548" s="6">
        <f t="shared" si="31"/>
        <v>0</v>
      </c>
      <c r="H548" s="6" t="str">
        <f t="shared" si="32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34"/>
        <v>0</v>
      </c>
      <c r="G549" s="6">
        <f t="shared" si="31"/>
        <v>0</v>
      </c>
      <c r="H549" s="6" t="str">
        <f t="shared" si="32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34"/>
        <v>0</v>
      </c>
      <c r="G550" s="6">
        <f t="shared" si="31"/>
        <v>0</v>
      </c>
      <c r="H550" s="6" t="str">
        <f t="shared" si="32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34"/>
        <v>0</v>
      </c>
      <c r="G551" s="6">
        <f t="shared" si="31"/>
        <v>0</v>
      </c>
      <c r="H551" s="6" t="str">
        <f t="shared" si="32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34"/>
        <v>0</v>
      </c>
      <c r="G552" s="6">
        <f t="shared" si="31"/>
        <v>0</v>
      </c>
      <c r="H552" s="6" t="str">
        <f t="shared" si="32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31"/>
        <v>0</v>
      </c>
      <c r="H553" s="6" t="str">
        <f t="shared" si="32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31"/>
        <v>0</v>
      </c>
      <c r="H554" s="6" t="str">
        <f t="shared" si="32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>C555</f>
        <v>0</v>
      </c>
      <c r="G555" s="6">
        <f t="shared" si="31"/>
        <v>0</v>
      </c>
      <c r="H555" s="6" t="str">
        <f t="shared" si="32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>C556</f>
        <v>0</v>
      </c>
      <c r="G556" s="6">
        <f t="shared" si="31"/>
        <v>0</v>
      </c>
      <c r="H556" s="6" t="str">
        <f t="shared" si="32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>C557</f>
        <v>0</v>
      </c>
      <c r="G557" s="6">
        <f t="shared" si="31"/>
        <v>0</v>
      </c>
      <c r="H557" s="6" t="str">
        <f t="shared" si="32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>C558</f>
        <v>0</v>
      </c>
      <c r="G558" s="6">
        <f t="shared" si="31"/>
        <v>0</v>
      </c>
      <c r="H558" s="6" t="str">
        <f t="shared" si="32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31"/>
        <v>0</v>
      </c>
      <c r="H559" s="6" t="str">
        <f t="shared" si="32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31"/>
        <v>0</v>
      </c>
      <c r="H560" s="6" t="str">
        <f t="shared" si="32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ref="F561:F574" si="35">C561</f>
        <v>0</v>
      </c>
      <c r="G561" s="6">
        <f t="shared" si="31"/>
        <v>0</v>
      </c>
      <c r="H561" s="6" t="str">
        <f t="shared" si="32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35"/>
        <v>0</v>
      </c>
      <c r="G562" s="6">
        <f t="shared" si="31"/>
        <v>0</v>
      </c>
      <c r="H562" s="6" t="str">
        <f t="shared" si="32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35"/>
        <v>0</v>
      </c>
      <c r="G563" s="6">
        <f t="shared" si="31"/>
        <v>0</v>
      </c>
      <c r="H563" s="6" t="str">
        <f t="shared" si="32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35"/>
        <v>0</v>
      </c>
      <c r="G564" s="6">
        <f t="shared" si="31"/>
        <v>0</v>
      </c>
      <c r="H564" s="6" t="str">
        <f t="shared" si="32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35"/>
        <v>0</v>
      </c>
      <c r="G565" s="6">
        <f t="shared" si="31"/>
        <v>0</v>
      </c>
      <c r="H565" s="6" t="str">
        <f t="shared" si="32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35"/>
        <v>0</v>
      </c>
      <c r="G566" s="6">
        <f t="shared" si="31"/>
        <v>0</v>
      </c>
      <c r="H566" s="6" t="str">
        <f t="shared" si="32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35"/>
        <v>0</v>
      </c>
      <c r="G567" s="6">
        <f t="shared" si="31"/>
        <v>0</v>
      </c>
      <c r="H567" s="6" t="str">
        <f t="shared" si="32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35"/>
        <v>0</v>
      </c>
      <c r="G568" s="6">
        <f t="shared" si="31"/>
        <v>0</v>
      </c>
      <c r="H568" s="6" t="str">
        <f t="shared" si="32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35"/>
        <v>0</v>
      </c>
      <c r="G569" s="6">
        <f t="shared" si="31"/>
        <v>0</v>
      </c>
      <c r="H569" s="6" t="str">
        <f t="shared" si="32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35"/>
        <v>0</v>
      </c>
      <c r="G570" s="6">
        <f t="shared" si="31"/>
        <v>0</v>
      </c>
      <c r="H570" s="6" t="str">
        <f t="shared" si="32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35"/>
        <v>0</v>
      </c>
      <c r="G571" s="6">
        <f t="shared" si="31"/>
        <v>0</v>
      </c>
      <c r="H571" s="6" t="str">
        <f t="shared" si="32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35"/>
        <v>0</v>
      </c>
      <c r="G572" s="6">
        <f t="shared" si="31"/>
        <v>0</v>
      </c>
      <c r="H572" s="6" t="str">
        <f t="shared" si="32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35"/>
        <v>0</v>
      </c>
      <c r="G573" s="6">
        <f t="shared" si="31"/>
        <v>0</v>
      </c>
      <c r="H573" s="6" t="str">
        <f t="shared" si="32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35"/>
        <v>0</v>
      </c>
      <c r="G574" s="6">
        <f t="shared" si="31"/>
        <v>0</v>
      </c>
      <c r="H574" s="6" t="str">
        <f t="shared" si="32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31"/>
        <v>0</v>
      </c>
      <c r="H575" s="6" t="str">
        <f t="shared" si="32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31"/>
        <v>0</v>
      </c>
      <c r="H576" s="6" t="str">
        <f t="shared" si="32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>C577</f>
        <v>0</v>
      </c>
      <c r="G577" s="6">
        <f t="shared" si="31"/>
        <v>0</v>
      </c>
      <c r="H577" s="6" t="str">
        <f t="shared" si="32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>C578</f>
        <v>0</v>
      </c>
      <c r="G578" s="6">
        <f t="shared" ref="G578:G641" si="36">C578-F578</f>
        <v>0</v>
      </c>
      <c r="H578" s="6" t="str">
        <f t="shared" ref="H578:H641" si="37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>C579</f>
        <v>0</v>
      </c>
      <c r="G579" s="6">
        <f t="shared" si="36"/>
        <v>0</v>
      </c>
      <c r="H579" s="6" t="str">
        <f t="shared" si="37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>C580</f>
        <v>0</v>
      </c>
      <c r="G580" s="6">
        <f t="shared" si="36"/>
        <v>0</v>
      </c>
      <c r="H580" s="6" t="str">
        <f t="shared" si="37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36"/>
        <v>0</v>
      </c>
      <c r="H581" s="6" t="str">
        <f t="shared" si="37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36"/>
        <v>0</v>
      </c>
      <c r="H582" s="6" t="str">
        <f t="shared" si="37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>C583</f>
        <v>0</v>
      </c>
      <c r="G583" s="6">
        <f t="shared" si="36"/>
        <v>0</v>
      </c>
      <c r="H583" s="6" t="str">
        <f t="shared" si="37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>C584</f>
        <v>0</v>
      </c>
      <c r="G584" s="6">
        <f t="shared" si="36"/>
        <v>0</v>
      </c>
      <c r="H584" s="6" t="str">
        <f t="shared" si="37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>C585</f>
        <v>0</v>
      </c>
      <c r="G585" s="6">
        <f t="shared" si="36"/>
        <v>0</v>
      </c>
      <c r="H585" s="6" t="str">
        <f t="shared" si="37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36"/>
        <v>0</v>
      </c>
      <c r="H586" s="6" t="str">
        <f t="shared" si="37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>C587</f>
        <v>0</v>
      </c>
      <c r="G587" s="6">
        <f t="shared" si="36"/>
        <v>0</v>
      </c>
      <c r="H587" s="6" t="str">
        <f t="shared" si="37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>C588</f>
        <v>0</v>
      </c>
      <c r="G588" s="6">
        <f t="shared" si="36"/>
        <v>0</v>
      </c>
      <c r="H588" s="6" t="str">
        <f t="shared" si="37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>C589</f>
        <v>0</v>
      </c>
      <c r="G589" s="6">
        <f t="shared" si="36"/>
        <v>0</v>
      </c>
      <c r="H589" s="6" t="str">
        <f t="shared" si="37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>C590</f>
        <v>0</v>
      </c>
      <c r="G590" s="6">
        <f t="shared" si="36"/>
        <v>0</v>
      </c>
      <c r="H590" s="6" t="str">
        <f t="shared" si="37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>C591</f>
        <v>0</v>
      </c>
      <c r="G591" s="6">
        <f t="shared" si="36"/>
        <v>0</v>
      </c>
      <c r="H591" s="6" t="str">
        <f t="shared" si="37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36"/>
        <v>0</v>
      </c>
      <c r="H592" s="6" t="str">
        <f t="shared" si="37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>C593</f>
        <v>0</v>
      </c>
      <c r="G593" s="6">
        <f t="shared" si="36"/>
        <v>0</v>
      </c>
      <c r="H593" s="6" t="str">
        <f t="shared" si="37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>C594</f>
        <v>0</v>
      </c>
      <c r="G594" s="6">
        <f t="shared" si="36"/>
        <v>0</v>
      </c>
      <c r="H594" s="6" t="str">
        <f t="shared" si="37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36"/>
        <v>0</v>
      </c>
      <c r="H595" s="6" t="str">
        <f t="shared" si="37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ref="F596:F604" si="38">C596</f>
        <v>0</v>
      </c>
      <c r="G596" s="6">
        <f t="shared" si="36"/>
        <v>0</v>
      </c>
      <c r="H596" s="6" t="str">
        <f t="shared" si="37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38"/>
        <v>0</v>
      </c>
      <c r="G597" s="6">
        <f t="shared" si="36"/>
        <v>0</v>
      </c>
      <c r="H597" s="6" t="str">
        <f t="shared" si="37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38"/>
        <v>0</v>
      </c>
      <c r="G598" s="6">
        <f t="shared" si="36"/>
        <v>0</v>
      </c>
      <c r="H598" s="6" t="str">
        <f t="shared" si="37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38"/>
        <v>0</v>
      </c>
      <c r="G599" s="6">
        <f t="shared" si="36"/>
        <v>0</v>
      </c>
      <c r="H599" s="6" t="str">
        <f t="shared" si="37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38"/>
        <v>0</v>
      </c>
      <c r="G600" s="6">
        <f t="shared" si="36"/>
        <v>0</v>
      </c>
      <c r="H600" s="6" t="str">
        <f t="shared" si="37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38"/>
        <v>0</v>
      </c>
      <c r="G601" s="6">
        <f t="shared" si="36"/>
        <v>0</v>
      </c>
      <c r="H601" s="6" t="str">
        <f t="shared" si="37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38"/>
        <v>0</v>
      </c>
      <c r="G602" s="6">
        <f t="shared" si="36"/>
        <v>0</v>
      </c>
      <c r="H602" s="6" t="str">
        <f t="shared" si="37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38"/>
        <v>0</v>
      </c>
      <c r="G603" s="6">
        <f t="shared" si="36"/>
        <v>0</v>
      </c>
      <c r="H603" s="6" t="str">
        <f t="shared" si="37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38"/>
        <v>0</v>
      </c>
      <c r="G604" s="6">
        <f t="shared" si="36"/>
        <v>0</v>
      </c>
      <c r="H604" s="6" t="str">
        <f t="shared" si="37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36"/>
        <v>0</v>
      </c>
      <c r="H605" s="6" t="str">
        <f t="shared" si="37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>C606</f>
        <v>0</v>
      </c>
      <c r="G606" s="6">
        <f t="shared" si="36"/>
        <v>0</v>
      </c>
      <c r="H606" s="6" t="str">
        <f t="shared" si="37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>C607</f>
        <v>0</v>
      </c>
      <c r="G607" s="6">
        <f t="shared" si="36"/>
        <v>0</v>
      </c>
      <c r="H607" s="6" t="str">
        <f t="shared" si="37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>C608</f>
        <v>0</v>
      </c>
      <c r="G608" s="6">
        <f t="shared" si="36"/>
        <v>0</v>
      </c>
      <c r="H608" s="6" t="str">
        <f t="shared" si="37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36"/>
        <v>0</v>
      </c>
      <c r="H609" s="6" t="str">
        <f t="shared" si="37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ref="F610:F615" si="39">C610</f>
        <v>0</v>
      </c>
      <c r="G610" s="6">
        <f t="shared" si="36"/>
        <v>0</v>
      </c>
      <c r="H610" s="6" t="str">
        <f t="shared" si="37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39"/>
        <v>0</v>
      </c>
      <c r="G611" s="6">
        <f t="shared" si="36"/>
        <v>0</v>
      </c>
      <c r="H611" s="6" t="str">
        <f t="shared" si="37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39"/>
        <v>0</v>
      </c>
      <c r="G612" s="6">
        <f t="shared" si="36"/>
        <v>0</v>
      </c>
      <c r="H612" s="6" t="str">
        <f t="shared" si="37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39"/>
        <v>0</v>
      </c>
      <c r="G613" s="6">
        <f t="shared" si="36"/>
        <v>0</v>
      </c>
      <c r="H613" s="6" t="str">
        <f t="shared" si="37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39"/>
        <v>0</v>
      </c>
      <c r="G614" s="6">
        <f t="shared" si="36"/>
        <v>0</v>
      </c>
      <c r="H614" s="6" t="str">
        <f t="shared" si="37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39"/>
        <v>0</v>
      </c>
      <c r="G615" s="6">
        <f t="shared" si="36"/>
        <v>0</v>
      </c>
      <c r="H615" s="6" t="str">
        <f t="shared" si="37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36"/>
        <v>0</v>
      </c>
      <c r="H616" s="6" t="str">
        <f t="shared" si="37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>C617</f>
        <v>0</v>
      </c>
      <c r="G617" s="6">
        <f t="shared" si="36"/>
        <v>0</v>
      </c>
      <c r="H617" s="6" t="str">
        <f t="shared" si="37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>C618</f>
        <v>0</v>
      </c>
      <c r="G618" s="6">
        <f t="shared" si="36"/>
        <v>0</v>
      </c>
      <c r="H618" s="6" t="str">
        <f t="shared" si="37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>C619</f>
        <v>0</v>
      </c>
      <c r="G619" s="6">
        <f t="shared" si="36"/>
        <v>0</v>
      </c>
      <c r="H619" s="6" t="str">
        <f t="shared" si="37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>C620</f>
        <v>0</v>
      </c>
      <c r="G620" s="6">
        <f t="shared" si="36"/>
        <v>0</v>
      </c>
      <c r="H620" s="6" t="str">
        <f t="shared" si="37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>C621</f>
        <v>0</v>
      </c>
      <c r="G621" s="6">
        <f t="shared" si="36"/>
        <v>0</v>
      </c>
      <c r="H621" s="6" t="str">
        <f t="shared" si="37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36"/>
        <v>0</v>
      </c>
      <c r="H622" s="6" t="str">
        <f t="shared" si="37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36"/>
        <v>0</v>
      </c>
      <c r="H623" s="6" t="str">
        <f t="shared" si="37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>C624</f>
        <v>0</v>
      </c>
      <c r="G624" s="6">
        <f t="shared" si="36"/>
        <v>0</v>
      </c>
      <c r="H624" s="6" t="str">
        <f t="shared" si="37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>C625</f>
        <v>0</v>
      </c>
      <c r="G625" s="6">
        <f t="shared" si="36"/>
        <v>0</v>
      </c>
      <c r="H625" s="6" t="str">
        <f t="shared" si="37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>C626</f>
        <v>0</v>
      </c>
      <c r="G626" s="6">
        <f t="shared" si="36"/>
        <v>0</v>
      </c>
      <c r="H626" s="6" t="str">
        <f t="shared" si="37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>C627</f>
        <v>0</v>
      </c>
      <c r="G627" s="6">
        <f t="shared" si="36"/>
        <v>0</v>
      </c>
      <c r="H627" s="6" t="str">
        <f t="shared" si="37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36"/>
        <v>0</v>
      </c>
      <c r="H628" s="6" t="str">
        <f t="shared" si="37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>C629</f>
        <v>0</v>
      </c>
      <c r="G629" s="6">
        <f t="shared" si="36"/>
        <v>0</v>
      </c>
      <c r="H629" s="6" t="str">
        <f t="shared" si="37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>C630</f>
        <v>0</v>
      </c>
      <c r="G630" s="6">
        <f t="shared" si="36"/>
        <v>0</v>
      </c>
      <c r="H630" s="6" t="str">
        <f t="shared" si="37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>C631</f>
        <v>0</v>
      </c>
      <c r="G631" s="6">
        <f t="shared" si="36"/>
        <v>0</v>
      </c>
      <c r="H631" s="6" t="str">
        <f t="shared" si="37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36"/>
        <v>0</v>
      </c>
      <c r="H632" s="6" t="str">
        <f t="shared" si="37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ref="F633:F643" si="40">C633</f>
        <v>0</v>
      </c>
      <c r="G633" s="6">
        <f t="shared" si="36"/>
        <v>0</v>
      </c>
      <c r="H633" s="6" t="str">
        <f t="shared" si="37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40"/>
        <v>0</v>
      </c>
      <c r="G634" s="6">
        <f t="shared" si="36"/>
        <v>0</v>
      </c>
      <c r="H634" s="6" t="str">
        <f t="shared" si="37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40"/>
        <v>0</v>
      </c>
      <c r="G635" s="6">
        <f t="shared" si="36"/>
        <v>0</v>
      </c>
      <c r="H635" s="6" t="str">
        <f t="shared" si="37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40"/>
        <v>0</v>
      </c>
      <c r="G636" s="6">
        <f t="shared" si="36"/>
        <v>0</v>
      </c>
      <c r="H636" s="6" t="str">
        <f t="shared" si="37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40"/>
        <v>0</v>
      </c>
      <c r="G637" s="6">
        <f t="shared" si="36"/>
        <v>0</v>
      </c>
      <c r="H637" s="6" t="str">
        <f t="shared" si="37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40"/>
        <v>0</v>
      </c>
      <c r="G638" s="6">
        <f t="shared" si="36"/>
        <v>0</v>
      </c>
      <c r="H638" s="6" t="str">
        <f t="shared" si="37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40"/>
        <v>0</v>
      </c>
      <c r="G639" s="6">
        <f t="shared" si="36"/>
        <v>0</v>
      </c>
      <c r="H639" s="6" t="str">
        <f t="shared" si="37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40"/>
        <v>0</v>
      </c>
      <c r="G640" s="6">
        <f t="shared" si="36"/>
        <v>0</v>
      </c>
      <c r="H640" s="6" t="str">
        <f t="shared" si="37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40"/>
        <v>0</v>
      </c>
      <c r="G641" s="6">
        <f t="shared" si="36"/>
        <v>0</v>
      </c>
      <c r="H641" s="6" t="str">
        <f t="shared" si="37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40"/>
        <v>0</v>
      </c>
      <c r="G642" s="6">
        <f t="shared" ref="G642:G705" si="41">C642-F642</f>
        <v>0</v>
      </c>
      <c r="H642" s="6" t="str">
        <f t="shared" ref="H642:H705" si="42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40"/>
        <v>0</v>
      </c>
      <c r="G643" s="6">
        <f t="shared" si="41"/>
        <v>0</v>
      </c>
      <c r="H643" s="6" t="str">
        <f t="shared" si="42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41"/>
        <v>0</v>
      </c>
      <c r="H644" s="6" t="str">
        <f t="shared" si="42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>C645</f>
        <v>0</v>
      </c>
      <c r="G645" s="6">
        <f t="shared" si="41"/>
        <v>0</v>
      </c>
      <c r="H645" s="6" t="str">
        <f t="shared" si="42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>C646</f>
        <v>0</v>
      </c>
      <c r="G646" s="6">
        <f t="shared" si="41"/>
        <v>0</v>
      </c>
      <c r="H646" s="6" t="str">
        <f t="shared" si="42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>C647</f>
        <v>0</v>
      </c>
      <c r="G647" s="6">
        <f t="shared" si="41"/>
        <v>0</v>
      </c>
      <c r="H647" s="6" t="str">
        <f t="shared" si="42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41"/>
        <v>0</v>
      </c>
      <c r="H648" s="6" t="str">
        <f t="shared" si="42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ref="F649:F657" si="43">C649</f>
        <v>0</v>
      </c>
      <c r="G649" s="6">
        <f t="shared" si="41"/>
        <v>0</v>
      </c>
      <c r="H649" s="6" t="str">
        <f t="shared" si="42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43"/>
        <v>0</v>
      </c>
      <c r="G650" s="6">
        <f t="shared" si="41"/>
        <v>0</v>
      </c>
      <c r="H650" s="6" t="str">
        <f t="shared" si="42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43"/>
        <v>0</v>
      </c>
      <c r="G651" s="6">
        <f t="shared" si="41"/>
        <v>0</v>
      </c>
      <c r="H651" s="6" t="str">
        <f t="shared" si="42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43"/>
        <v>0</v>
      </c>
      <c r="G652" s="6">
        <f t="shared" si="41"/>
        <v>0</v>
      </c>
      <c r="H652" s="6" t="str">
        <f t="shared" si="42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43"/>
        <v>0</v>
      </c>
      <c r="G653" s="6">
        <f t="shared" si="41"/>
        <v>0</v>
      </c>
      <c r="H653" s="6" t="str">
        <f t="shared" si="42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43"/>
        <v>0</v>
      </c>
      <c r="G654" s="6">
        <f t="shared" si="41"/>
        <v>0</v>
      </c>
      <c r="H654" s="6" t="str">
        <f t="shared" si="42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43"/>
        <v>0</v>
      </c>
      <c r="G655" s="6">
        <f t="shared" si="41"/>
        <v>0</v>
      </c>
      <c r="H655" s="6" t="str">
        <f t="shared" si="42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43"/>
        <v>0</v>
      </c>
      <c r="G656" s="6">
        <f t="shared" si="41"/>
        <v>0</v>
      </c>
      <c r="H656" s="6" t="str">
        <f t="shared" si="42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43"/>
        <v>0</v>
      </c>
      <c r="G657" s="6">
        <f t="shared" si="41"/>
        <v>0</v>
      </c>
      <c r="H657" s="6" t="str">
        <f t="shared" si="42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C659+C669+C674+C695+C698+C699+C705</f>
        <v>0</v>
      </c>
      <c r="G658" s="6">
        <f t="shared" si="41"/>
        <v>0</v>
      </c>
      <c r="H658" s="6" t="str">
        <f t="shared" si="42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41"/>
        <v>0</v>
      </c>
      <c r="H659" s="6" t="str">
        <f t="shared" si="42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41"/>
        <v>0</v>
      </c>
      <c r="H660" s="6" t="str">
        <f t="shared" si="42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ref="F661:F668" si="44">C661</f>
        <v>0</v>
      </c>
      <c r="G661" s="6">
        <f t="shared" si="41"/>
        <v>0</v>
      </c>
      <c r="H661" s="6" t="str">
        <f t="shared" si="42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44"/>
        <v>0</v>
      </c>
      <c r="G662" s="6">
        <f t="shared" si="41"/>
        <v>0</v>
      </c>
      <c r="H662" s="6" t="str">
        <f t="shared" si="42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44"/>
        <v>0</v>
      </c>
      <c r="G663" s="6">
        <f t="shared" si="41"/>
        <v>0</v>
      </c>
      <c r="H663" s="6" t="str">
        <f t="shared" si="42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44"/>
        <v>0</v>
      </c>
      <c r="G664" s="6">
        <f t="shared" si="41"/>
        <v>0</v>
      </c>
      <c r="H664" s="6" t="str">
        <f t="shared" si="42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44"/>
        <v>0</v>
      </c>
      <c r="G665" s="6">
        <f t="shared" si="41"/>
        <v>0</v>
      </c>
      <c r="H665" s="6" t="str">
        <f t="shared" si="42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44"/>
        <v>0</v>
      </c>
      <c r="G666" s="6">
        <f t="shared" si="41"/>
        <v>0</v>
      </c>
      <c r="H666" s="6" t="str">
        <f t="shared" si="42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44"/>
        <v>0</v>
      </c>
      <c r="G667" s="6">
        <f t="shared" si="41"/>
        <v>0</v>
      </c>
      <c r="H667" s="6" t="str">
        <f t="shared" si="42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44"/>
        <v>0</v>
      </c>
      <c r="G668" s="6">
        <f t="shared" si="41"/>
        <v>0</v>
      </c>
      <c r="H668" s="6" t="str">
        <f t="shared" si="42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41"/>
        <v>0</v>
      </c>
      <c r="H669" s="6" t="str">
        <f t="shared" si="42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>C670</f>
        <v>0</v>
      </c>
      <c r="G670" s="6">
        <f t="shared" si="41"/>
        <v>0</v>
      </c>
      <c r="H670" s="6" t="str">
        <f t="shared" si="42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>C671</f>
        <v>0</v>
      </c>
      <c r="G671" s="6">
        <f t="shared" si="41"/>
        <v>0</v>
      </c>
      <c r="H671" s="6" t="str">
        <f t="shared" si="42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>C672</f>
        <v>0</v>
      </c>
      <c r="G672" s="6">
        <f t="shared" si="41"/>
        <v>0</v>
      </c>
      <c r="H672" s="6" t="str">
        <f t="shared" si="42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>C673</f>
        <v>0</v>
      </c>
      <c r="G673" s="6">
        <f t="shared" si="41"/>
        <v>0</v>
      </c>
      <c r="H673" s="6" t="str">
        <f t="shared" si="42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41"/>
        <v>0</v>
      </c>
      <c r="H674" s="6" t="str">
        <f t="shared" si="42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41"/>
        <v>0</v>
      </c>
      <c r="H675" s="6" t="str">
        <f t="shared" si="42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>C676</f>
        <v>0</v>
      </c>
      <c r="G676" s="6">
        <f t="shared" si="41"/>
        <v>0</v>
      </c>
      <c r="H676" s="6" t="str">
        <f t="shared" si="42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41"/>
        <v>0</v>
      </c>
      <c r="H677" s="6" t="str">
        <f t="shared" si="42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ref="F678:F685" si="45">C678</f>
        <v>0</v>
      </c>
      <c r="G678" s="6">
        <f t="shared" si="41"/>
        <v>0</v>
      </c>
      <c r="H678" s="6" t="str">
        <f t="shared" si="42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45"/>
        <v>0</v>
      </c>
      <c r="G679" s="6">
        <f t="shared" si="41"/>
        <v>0</v>
      </c>
      <c r="H679" s="6" t="str">
        <f t="shared" si="42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45"/>
        <v>0</v>
      </c>
      <c r="G680" s="6">
        <f t="shared" si="41"/>
        <v>0</v>
      </c>
      <c r="H680" s="6" t="str">
        <f t="shared" si="42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45"/>
        <v>0</v>
      </c>
      <c r="G681" s="6">
        <f t="shared" si="41"/>
        <v>0</v>
      </c>
      <c r="H681" s="6" t="str">
        <f t="shared" si="42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45"/>
        <v>0</v>
      </c>
      <c r="G682" s="6">
        <f t="shared" si="41"/>
        <v>0</v>
      </c>
      <c r="H682" s="6" t="str">
        <f t="shared" si="42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45"/>
        <v>0</v>
      </c>
      <c r="G683" s="6">
        <f t="shared" si="41"/>
        <v>0</v>
      </c>
      <c r="H683" s="6" t="str">
        <f t="shared" si="42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45"/>
        <v>0</v>
      </c>
      <c r="G684" s="6">
        <f t="shared" si="41"/>
        <v>0</v>
      </c>
      <c r="H684" s="6" t="str">
        <f t="shared" si="42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45"/>
        <v>0</v>
      </c>
      <c r="G685" s="6">
        <f t="shared" si="41"/>
        <v>0</v>
      </c>
      <c r="H685" s="6" t="str">
        <f t="shared" si="42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41"/>
        <v>0</v>
      </c>
      <c r="H686" s="6" t="str">
        <f t="shared" si="42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ref="F687:F694" si="46">C687</f>
        <v>0</v>
      </c>
      <c r="G687" s="6">
        <f t="shared" si="41"/>
        <v>0</v>
      </c>
      <c r="H687" s="6" t="str">
        <f t="shared" si="42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46"/>
        <v>0</v>
      </c>
      <c r="G688" s="6">
        <f t="shared" si="41"/>
        <v>0</v>
      </c>
      <c r="H688" s="6" t="str">
        <f t="shared" si="42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46"/>
        <v>0</v>
      </c>
      <c r="G689" s="6">
        <f t="shared" si="41"/>
        <v>0</v>
      </c>
      <c r="H689" s="6" t="str">
        <f t="shared" si="42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46"/>
        <v>0</v>
      </c>
      <c r="G690" s="6">
        <f t="shared" si="41"/>
        <v>0</v>
      </c>
      <c r="H690" s="6" t="str">
        <f t="shared" si="42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46"/>
        <v>0</v>
      </c>
      <c r="G691" s="6">
        <f t="shared" si="41"/>
        <v>0</v>
      </c>
      <c r="H691" s="6" t="str">
        <f t="shared" si="42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46"/>
        <v>0</v>
      </c>
      <c r="G692" s="6">
        <f t="shared" si="41"/>
        <v>0</v>
      </c>
      <c r="H692" s="6" t="str">
        <f t="shared" si="42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46"/>
        <v>0</v>
      </c>
      <c r="G693" s="6">
        <f t="shared" si="41"/>
        <v>0</v>
      </c>
      <c r="H693" s="6" t="str">
        <f t="shared" si="42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46"/>
        <v>0</v>
      </c>
      <c r="G694" s="6">
        <f t="shared" si="41"/>
        <v>0</v>
      </c>
      <c r="H694" s="6" t="str">
        <f t="shared" si="42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41"/>
        <v>0</v>
      </c>
      <c r="H695" s="6" t="str">
        <f t="shared" si="42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>C696</f>
        <v>0</v>
      </c>
      <c r="G696" s="6">
        <f t="shared" si="41"/>
        <v>0</v>
      </c>
      <c r="H696" s="6" t="str">
        <f t="shared" si="42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>C697</f>
        <v>0</v>
      </c>
      <c r="G697" s="6">
        <f t="shared" si="41"/>
        <v>0</v>
      </c>
      <c r="H697" s="6" t="str">
        <f t="shared" si="42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41"/>
        <v>0</v>
      </c>
      <c r="H698" s="6" t="str">
        <f t="shared" si="42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41"/>
        <v>0</v>
      </c>
      <c r="H699" s="6" t="str">
        <f t="shared" si="42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41"/>
        <v>0</v>
      </c>
      <c r="H700" s="6" t="str">
        <f t="shared" si="42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ref="F701:F707" si="47">C701</f>
        <v>0</v>
      </c>
      <c r="G701" s="6">
        <f t="shared" si="41"/>
        <v>0</v>
      </c>
      <c r="H701" s="6" t="str">
        <f t="shared" si="42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47"/>
        <v>0</v>
      </c>
      <c r="G702" s="6">
        <f t="shared" si="41"/>
        <v>0</v>
      </c>
      <c r="H702" s="6" t="str">
        <f t="shared" si="42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47"/>
        <v>0</v>
      </c>
      <c r="G703" s="6">
        <f t="shared" si="41"/>
        <v>0</v>
      </c>
      <c r="H703" s="6" t="str">
        <f t="shared" si="42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47"/>
        <v>0</v>
      </c>
      <c r="G704" s="6">
        <f t="shared" si="41"/>
        <v>0</v>
      </c>
      <c r="H704" s="6" t="str">
        <f t="shared" si="42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47"/>
        <v>0</v>
      </c>
      <c r="G705" s="6">
        <f t="shared" si="41"/>
        <v>0</v>
      </c>
      <c r="H705" s="6" t="str">
        <f t="shared" si="42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48">C706-F706</f>
        <v>0</v>
      </c>
      <c r="H706" s="6" t="str">
        <f t="shared" ref="H706:H710" si="49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47"/>
        <v>0</v>
      </c>
      <c r="G707" s="6">
        <f t="shared" si="48"/>
        <v>0</v>
      </c>
      <c r="H707" s="6" t="str">
        <f t="shared" si="49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48"/>
        <v>0</v>
      </c>
      <c r="H708" s="6" t="str">
        <f t="shared" si="49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48"/>
        <v>0</v>
      </c>
      <c r="H709" s="6" t="str">
        <f t="shared" si="49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 t="shared" ref="F710" si="50">+C404+C658</f>
        <v>0</v>
      </c>
      <c r="G710" s="6">
        <f t="shared" si="48"/>
        <v>0</v>
      </c>
      <c r="H710" s="6" t="str">
        <f t="shared" si="49"/>
        <v>OK</v>
      </c>
    </row>
  </sheetData>
  <sheetProtection formatCells="0" formatColumns="0" formatRows="0" sort="0" autoFilter="0" pivotTables="0"/>
  <conditionalFormatting sqref="H1:H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Normal="100" workbookViewId="0">
      <pane ySplit="1" topLeftCell="A675" activePane="bottomLeft" state="frozenSplit"/>
      <selection activeCell="I31" sqref="I31"/>
      <selection pane="bottomLeft" activeCell="M710" sqref="M710"/>
    </sheetView>
  </sheetViews>
  <sheetFormatPr baseColWidth="10" defaultColWidth="9.140625" defaultRowHeight="12.75" x14ac:dyDescent="0.2"/>
  <cols>
    <col min="1" max="1" width="13.42578125" style="19" bestFit="1" customWidth="1"/>
    <col min="2" max="4" width="14.28515625" style="3" bestFit="1" customWidth="1"/>
    <col min="5" max="5" width="9" style="3" bestFit="1" customWidth="1"/>
    <col min="6" max="6" width="14.28515625" style="3" bestFit="1" customWidth="1"/>
    <col min="7" max="7" width="93.85546875" style="19" bestFit="1" customWidth="1"/>
    <col min="8" max="8" width="10" style="19" bestFit="1" customWidth="1"/>
    <col min="9" max="10" width="14.28515625" style="6" bestFit="1" customWidth="1"/>
    <col min="11" max="11" width="13.28515625" style="6" bestFit="1" customWidth="1"/>
    <col min="12" max="12" width="9" style="6" bestFit="1" customWidth="1"/>
    <col min="13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J2+K2+L2+M2</f>
        <v>0</v>
      </c>
      <c r="J2" s="6">
        <f>C3+C18+C32+C68+C94+C117+C140+C148+C294+C305+C324+C349+C350+C351+C392</f>
        <v>0</v>
      </c>
      <c r="K2" s="6">
        <f>D3+D18+D32+D68+D94+D117+D140+D148+D294+D305+D324+D349+D350+D351+D392</f>
        <v>0</v>
      </c>
      <c r="L2" s="6">
        <f>E3+E18+E32+E68+E94+E117+E140+E148+E294+E305+E324+E349+E350+E351+E392</f>
        <v>0</v>
      </c>
      <c r="M2" s="6">
        <f>F3+F18+F32+F68+F94+F117+F140+F148+F294+F305+F324+F349+F350+F351+F392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f t="shared" si="0"/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 t="shared" si="5"/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C118+C133+C139</f>
        <v>0</v>
      </c>
      <c r="K117" s="6">
        <f>D118+D133+D139</f>
        <v>0</v>
      </c>
      <c r="L117" s="6">
        <f>E118+E133+E139</f>
        <v>0</v>
      </c>
      <c r="M117" s="6">
        <f>F118+F133+F139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</f>
        <v>0</v>
      </c>
      <c r="K133" s="6">
        <f>D134</f>
        <v>0</v>
      </c>
      <c r="L133" s="6">
        <f>E134</f>
        <v>0</v>
      </c>
      <c r="M133" s="6">
        <f>F134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3" t="s">
        <v>2437</v>
      </c>
      <c r="H139" s="23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C325+C329+C333</f>
        <v>0</v>
      </c>
      <c r="K324" s="6">
        <f>D325+D329+D333</f>
        <v>0</v>
      </c>
      <c r="L324" s="6">
        <f>E325+E329+E333</f>
        <v>0</v>
      </c>
      <c r="M324" s="6">
        <f>F325+F329+F333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3" t="s">
        <v>2601</v>
      </c>
      <c r="H333" s="23" t="s">
        <v>330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4" t="s">
        <v>2595</v>
      </c>
      <c r="H334" s="24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4" t="s">
        <v>2602</v>
      </c>
      <c r="H338" s="24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4" t="s">
        <v>2599</v>
      </c>
      <c r="H341" s="24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4" t="s">
        <v>2603</v>
      </c>
      <c r="H345" s="24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</f>
        <v>0</v>
      </c>
      <c r="K441" s="6">
        <f>D442+D471+D480+D495</f>
        <v>0</v>
      </c>
      <c r="L441" s="6">
        <f>E442+E471+E480+E495</f>
        <v>0</v>
      </c>
      <c r="M441" s="6">
        <f>F442+F471+F480+F495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C496+C507+C518+C521+C524+C531</f>
        <v>0</v>
      </c>
      <c r="K495" s="6">
        <f>D496+D507+D518+D521+D524+D531</f>
        <v>0</v>
      </c>
      <c r="L495" s="6">
        <f>E496+E507+E518+E521+E524+E531</f>
        <v>0</v>
      </c>
      <c r="M495" s="6">
        <f>F496+F507+F518+F521+F524+F531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45" t="s">
        <v>2713</v>
      </c>
      <c r="H524" s="45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45" t="s">
        <v>2720</v>
      </c>
      <c r="H531" s="45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C659+C669+C674+C695+C698+C699+C705</f>
        <v>0</v>
      </c>
      <c r="K658" s="6">
        <f>D659+D669+D674+D695+D698+D699+D705</f>
        <v>0</v>
      </c>
      <c r="L658" s="6">
        <f>E659+E669+E674+E695+E698+E699+E705</f>
        <v>0</v>
      </c>
      <c r="M658" s="6">
        <f>F659+F669+F674+F695+F698+F699+F705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 t="shared" si="44"/>
        <v>0</v>
      </c>
      <c r="J698" s="6">
        <f t="shared" si="46"/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Normal="100" workbookViewId="0">
      <pane ySplit="1" topLeftCell="A690" activePane="bottomLeft" state="frozenSplit"/>
      <selection activeCell="I31" sqref="I31"/>
      <selection pane="bottomLeft" activeCell="M710" sqref="M710"/>
    </sheetView>
  </sheetViews>
  <sheetFormatPr baseColWidth="10" defaultColWidth="9.140625" defaultRowHeight="12.75" x14ac:dyDescent="0.2"/>
  <cols>
    <col min="1" max="1" width="13.42578125" style="19" bestFit="1" customWidth="1"/>
    <col min="2" max="2" width="10.42578125" style="3" customWidth="1"/>
    <col min="3" max="3" width="9.5703125" style="3" customWidth="1"/>
    <col min="4" max="4" width="10.42578125" style="3" customWidth="1"/>
    <col min="5" max="5" width="8.85546875" style="3" customWidth="1"/>
    <col min="6" max="6" width="8.7109375" style="3" customWidth="1"/>
    <col min="7" max="7" width="93.85546875" style="19" bestFit="1" customWidth="1"/>
    <col min="8" max="8" width="10" style="19" bestFit="1" customWidth="1"/>
    <col min="9" max="9" width="10.42578125" style="6" bestFit="1" customWidth="1"/>
    <col min="10" max="10" width="9.5703125" style="6" bestFit="1" customWidth="1"/>
    <col min="11" max="11" width="10.42578125" style="6" bestFit="1" customWidth="1"/>
    <col min="12" max="12" width="8.85546875" style="6" bestFit="1" customWidth="1"/>
    <col min="13" max="13" width="8.7109375" style="6" bestFit="1" customWidth="1"/>
    <col min="14" max="14" width="12.85546875" style="6" bestFit="1" customWidth="1"/>
    <col min="15" max="15" width="12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J2+K2+L2+M2</f>
        <v>0</v>
      </c>
      <c r="J2" s="6">
        <f>C3+C18+C32+C68+C94+C117+C140+C148+C294+C305+C324+C349+C350+C351+C392</f>
        <v>0</v>
      </c>
      <c r="K2" s="6">
        <f>D3+D18+D32+D68+D94+D117+D140+D148+D294+D305+D324+D349+D350+D351+D392</f>
        <v>0</v>
      </c>
      <c r="L2" s="6">
        <f>E3+E18+E32+E68+E94+E117+E140+E148+E294+E305+E324+E349+E350+E351+E392</f>
        <v>0</v>
      </c>
      <c r="M2" s="6">
        <f>F3+F18+F32+F68+F94+F117+F140+F148+F294+F305+F324+F349+F350+F351+F392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f t="shared" si="0"/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 t="shared" si="5"/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C118+C133+C139</f>
        <v>0</v>
      </c>
      <c r="K117" s="6">
        <f>D118+D133+D139</f>
        <v>0</v>
      </c>
      <c r="L117" s="6">
        <f>E118+E133+E139</f>
        <v>0</v>
      </c>
      <c r="M117" s="6">
        <f>F118+F133+F139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</f>
        <v>0</v>
      </c>
      <c r="K133" s="6">
        <f>D134</f>
        <v>0</v>
      </c>
      <c r="L133" s="6">
        <f>E134</f>
        <v>0</v>
      </c>
      <c r="M133" s="6">
        <f>F134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3" t="s">
        <v>2437</v>
      </c>
      <c r="H139" s="23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C325+C329+C333</f>
        <v>0</v>
      </c>
      <c r="K324" s="6">
        <f>D325+D329+D333</f>
        <v>0</v>
      </c>
      <c r="L324" s="6">
        <f>E325+E329+E333</f>
        <v>0</v>
      </c>
      <c r="M324" s="6">
        <f>F325+F329+F333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3" t="s">
        <v>2601</v>
      </c>
      <c r="H333" s="23" t="s">
        <v>330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4" t="s">
        <v>2595</v>
      </c>
      <c r="H334" s="24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4" t="s">
        <v>2602</v>
      </c>
      <c r="H338" s="24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4" t="s">
        <v>2599</v>
      </c>
      <c r="H341" s="24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4" t="s">
        <v>2603</v>
      </c>
      <c r="H345" s="24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</f>
        <v>0</v>
      </c>
      <c r="K441" s="6">
        <f>D442+D471+D480+D495</f>
        <v>0</v>
      </c>
      <c r="L441" s="6">
        <f>E442+E471+E480+E495</f>
        <v>0</v>
      </c>
      <c r="M441" s="6">
        <f>F442+F471+F480+F495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C496+C507+C518+C521+C524+C531</f>
        <v>0</v>
      </c>
      <c r="K495" s="6">
        <f>D496+D507+D518+D521+D524+D531</f>
        <v>0</v>
      </c>
      <c r="L495" s="6">
        <f>E496+E507+E518+E521+E524+E531</f>
        <v>0</v>
      </c>
      <c r="M495" s="6">
        <f>F496+F507+F518+F521+F524+F531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45" t="s">
        <v>2713</v>
      </c>
      <c r="H524" s="45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45" t="s">
        <v>2720</v>
      </c>
      <c r="H531" s="45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C659+C669+C674+C695+C698+C699+C705</f>
        <v>0</v>
      </c>
      <c r="K658" s="6">
        <f>D659+D669+D674+D695+D698+D699+D705</f>
        <v>0</v>
      </c>
      <c r="L658" s="6">
        <f>E659+E669+E674+E695+E698+E699+E705</f>
        <v>0</v>
      </c>
      <c r="M658" s="6">
        <f>F659+F669+F674+F695+F698+F699+F705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 t="shared" si="44"/>
        <v>0</v>
      </c>
      <c r="J698" s="6">
        <f t="shared" si="46"/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8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zoomScaleNormal="100" workbookViewId="0">
      <selection activeCell="E2" sqref="E2:E1230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B124+B125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5" t="s">
        <v>2415</v>
      </c>
      <c r="D124" s="21" t="s">
        <v>838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5" t="s">
        <v>2881</v>
      </c>
      <c r="D125" s="21" t="s">
        <v>838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24" t="s">
        <v>2485</v>
      </c>
      <c r="D191" s="21" t="s">
        <v>905</v>
      </c>
      <c r="E191" s="6">
        <f>B192+B193+B194+B195+B196+B197+B198+B199+B200+B201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5" t="s">
        <v>2705</v>
      </c>
      <c r="D192" s="21" t="s">
        <v>906</v>
      </c>
      <c r="E192" s="6">
        <f t="shared" si="8"/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1" t="s">
        <v>906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1" t="s">
        <v>906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1" t="s">
        <v>906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5" t="s">
        <v>2709</v>
      </c>
      <c r="D196" s="21" t="s">
        <v>906</v>
      </c>
      <c r="E196" s="6">
        <f t="shared" si="8"/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1" t="s">
        <v>906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1" t="s">
        <v>906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1" t="s">
        <v>906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1" t="s">
        <v>906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1" t="s">
        <v>906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24" t="s">
        <v>2498</v>
      </c>
      <c r="D202" s="21" t="s">
        <v>905</v>
      </c>
      <c r="E202" s="6">
        <f>B203+B204+B205+B206+B207+B208+B209+B210+B211+B212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5" t="s">
        <v>2705</v>
      </c>
      <c r="D203" s="21" t="s">
        <v>917</v>
      </c>
      <c r="E203" s="6">
        <f t="shared" si="11"/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1" t="s">
        <v>917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1" t="s">
        <v>917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1" t="s">
        <v>917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5" t="s">
        <v>2709</v>
      </c>
      <c r="D207" s="21" t="s">
        <v>917</v>
      </c>
      <c r="E207" s="6">
        <f t="shared" si="11"/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1" t="s">
        <v>917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1" t="s">
        <v>917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1" t="s">
        <v>917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1" t="s">
        <v>917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1" t="s">
        <v>917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24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24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24" t="s">
        <v>2485</v>
      </c>
      <c r="D438" s="21" t="s">
        <v>1152</v>
      </c>
      <c r="E438" s="6">
        <f>B439+B440+B441+B442+B443+B444+B445+B446+B447+B448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5" t="s">
        <v>2705</v>
      </c>
      <c r="D439" s="21" t="s">
        <v>1153</v>
      </c>
      <c r="E439" s="6">
        <f t="shared" si="21"/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21" t="s">
        <v>1153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21" t="s">
        <v>1153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21" t="s">
        <v>1153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5" t="s">
        <v>2709</v>
      </c>
      <c r="D443" s="21" t="s">
        <v>1153</v>
      </c>
      <c r="E443" s="6">
        <f t="shared" si="21"/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21" t="s">
        <v>1153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21" t="s">
        <v>1153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21" t="s">
        <v>1153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21" t="s">
        <v>1153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21" t="s">
        <v>1153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24" t="s">
        <v>2498</v>
      </c>
      <c r="D449" s="21" t="s">
        <v>1152</v>
      </c>
      <c r="E449" s="6">
        <f>B450+B451+B452+B453+B454+B455+B456+B457+B458+B459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5" t="s">
        <v>2705</v>
      </c>
      <c r="D450" s="21" t="s">
        <v>1164</v>
      </c>
      <c r="E450" s="6">
        <f t="shared" si="21"/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21" t="s">
        <v>1164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21" t="s">
        <v>1164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21" t="s">
        <v>1164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5" t="s">
        <v>2709</v>
      </c>
      <c r="D454" s="21" t="s">
        <v>1164</v>
      </c>
      <c r="E454" s="6">
        <f t="shared" si="21"/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21" t="s">
        <v>1164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21" t="s">
        <v>1164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21" t="s">
        <v>1164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21" t="s">
        <v>1164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21" t="s">
        <v>1164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24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24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3405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B760+B763+B815+B825+B826+B827+B830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24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24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24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24" t="s">
        <v>2461</v>
      </c>
      <c r="D784" s="21" t="s">
        <v>1491</v>
      </c>
      <c r="E784" s="6">
        <f>B785+B786+B787+B788+B789+B790+B791+B792+B793+B794+B795+B796+B797+B798+B799+B800+B801+B802+B803+B804+B805+B806+B807+B808+B809+B810+B811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5" t="s">
        <v>2512</v>
      </c>
      <c r="D785" s="21" t="s">
        <v>1499</v>
      </c>
      <c r="E785" s="6">
        <f t="shared" si="37"/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21" t="s">
        <v>1499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21" t="s">
        <v>1499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21" t="s">
        <v>1499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21" t="s">
        <v>1499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21" t="s">
        <v>1499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21" t="s">
        <v>1499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5" t="s">
        <v>2519</v>
      </c>
      <c r="D792" s="21" t="s">
        <v>1499</v>
      </c>
      <c r="E792" s="6">
        <f t="shared" si="40"/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21" t="s">
        <v>1499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21" t="s">
        <v>1499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21" t="s">
        <v>1499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21" t="s">
        <v>1499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21" t="s">
        <v>1499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21" t="s">
        <v>1499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5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5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5" t="s">
        <v>2530</v>
      </c>
      <c r="D801" s="21" t="s">
        <v>1499</v>
      </c>
      <c r="E801" s="6">
        <f t="shared" si="40"/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21" t="s">
        <v>1499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21" t="s">
        <v>1499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5" t="s">
        <v>2879</v>
      </c>
      <c r="D804" s="21" t="s">
        <v>1499</v>
      </c>
      <c r="E804" s="6">
        <f t="shared" si="40"/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21" t="s">
        <v>1499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21" t="s">
        <v>1499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5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5" t="s">
        <v>2540</v>
      </c>
      <c r="D808" s="21" t="s">
        <v>1499</v>
      </c>
      <c r="E808" s="6">
        <f t="shared" si="40"/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21" t="s">
        <v>1499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21" t="s">
        <v>1499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21" t="s">
        <v>1499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24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24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2" t="s">
        <v>3024</v>
      </c>
      <c r="D815" s="21" t="s">
        <v>1474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3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3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3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3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3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3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3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3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3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2" t="s">
        <v>3037</v>
      </c>
      <c r="D825" s="21" t="s">
        <v>1474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2" t="s">
        <v>3038</v>
      </c>
      <c r="D826" s="21" t="s">
        <v>1474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2" t="s">
        <v>3028</v>
      </c>
      <c r="D827" s="21" t="s">
        <v>1474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3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3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9" t="s">
        <v>3041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3404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3140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3141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3142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3143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3143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3144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3145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3146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3147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3148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3149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3150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3151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3152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3142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3153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3154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3155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3156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3157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3158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3159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3160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3161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3162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3163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3164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3165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3166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3167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3168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3169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3170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3171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3172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3173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3174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3175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3176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3177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3178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3179</v>
      </c>
      <c r="D1093" s="21">
        <v>0</v>
      </c>
      <c r="E1093" s="6">
        <f>B1094+B1112+B1134+B1139+B1165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3180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3181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3182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3183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3184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3185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3186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3187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3188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3189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3190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3191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3192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3193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3194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3195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3196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3197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3198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3199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3200</v>
      </c>
      <c r="D1139" s="21" t="s">
        <v>1807</v>
      </c>
      <c r="E1139" s="6">
        <f>B1140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3201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3202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3203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3204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3203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3205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3203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2" t="s">
        <v>3206</v>
      </c>
      <c r="D1165" s="21" t="s">
        <v>1807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3" t="s">
        <v>3202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3203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3" t="s">
        <v>3207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3203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3" t="s">
        <v>3205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3203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3208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3209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3210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3211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3212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3213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3214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3215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3216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3217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3218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3219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3220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3221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3222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3223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3224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3225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3226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3227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3228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3229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3230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3231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3232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3233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3234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3235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3236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3237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3238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3239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7" priority="9" operator="equal">
      <formula>"NOOK"</formula>
    </cfRule>
  </conditionalFormatting>
  <conditionalFormatting sqref="G14">
    <cfRule type="cellIs" dxfId="46" priority="8" operator="equal">
      <formula>"NOOK"</formula>
    </cfRule>
  </conditionalFormatting>
  <conditionalFormatting sqref="G21">
    <cfRule type="cellIs" dxfId="45" priority="7" operator="equal">
      <formula>"NOOK"</formula>
    </cfRule>
  </conditionalFormatting>
  <conditionalFormatting sqref="G95:G97">
    <cfRule type="cellIs" dxfId="44" priority="6" operator="equal">
      <formula>"NOOK"</formula>
    </cfRule>
  </conditionalFormatting>
  <conditionalFormatting sqref="G218">
    <cfRule type="cellIs" dxfId="43" priority="5" operator="equal">
      <formula>"NOOK"</formula>
    </cfRule>
  </conditionalFormatting>
  <conditionalFormatting sqref="G264:G266">
    <cfRule type="cellIs" dxfId="42" priority="4" operator="equal">
      <formula>"NOOK"</formula>
    </cfRule>
  </conditionalFormatting>
  <conditionalFormatting sqref="G285">
    <cfRule type="cellIs" dxfId="41" priority="3" operator="equal">
      <formula>"NOOK"</formula>
    </cfRule>
  </conditionalFormatting>
  <conditionalFormatting sqref="G295">
    <cfRule type="cellIs" dxfId="40" priority="2" operator="equal">
      <formula>"NOOK"</formula>
    </cfRule>
  </conditionalFormatting>
  <conditionalFormatting sqref="G227">
    <cfRule type="cellIs" dxfId="3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187" zoomScaleNormal="100" workbookViewId="0">
      <selection activeCell="F2" sqref="F2:F1230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3402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C124+C125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5" t="s">
        <v>2415</v>
      </c>
      <c r="E124" s="21" t="s">
        <v>838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5" t="s">
        <v>2881</v>
      </c>
      <c r="E125" s="21" t="s">
        <v>838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868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868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868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24" t="s">
        <v>2485</v>
      </c>
      <c r="E191" s="21" t="s">
        <v>905</v>
      </c>
      <c r="F191" s="6">
        <f>C192+C193+C194+C195+C196+C197+C198+C199+C200+C201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5" t="s">
        <v>2705</v>
      </c>
      <c r="E192" s="21" t="s">
        <v>906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1" t="s">
        <v>906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1" t="s">
        <v>906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1" t="s">
        <v>906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5" t="s">
        <v>2709</v>
      </c>
      <c r="E196" s="21" t="s">
        <v>906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1" t="s">
        <v>906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1" t="s">
        <v>906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1" t="s">
        <v>906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1" t="s">
        <v>906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1" t="s">
        <v>906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24" t="s">
        <v>2498</v>
      </c>
      <c r="E202" s="21" t="s">
        <v>905</v>
      </c>
      <c r="F202" s="6">
        <f>C203+C204+C205+C206+C207+C208+C209+C210+C211+C212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5" t="s">
        <v>2705</v>
      </c>
      <c r="E203" s="21" t="s">
        <v>917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1" t="s">
        <v>917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1" t="s">
        <v>917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1" t="s">
        <v>917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5" t="s">
        <v>2709</v>
      </c>
      <c r="E207" s="21" t="s">
        <v>917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1" t="s">
        <v>917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1" t="s">
        <v>917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1" t="s">
        <v>917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1" t="s">
        <v>917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1" t="s">
        <v>917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24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24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868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868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969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969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969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969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969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969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1115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1115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1115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24" t="s">
        <v>2485</v>
      </c>
      <c r="E438" s="21" t="s">
        <v>1152</v>
      </c>
      <c r="F438" s="6">
        <f>C439+C440+C441+C442+C443+C444+C445+C446+C447+C448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5" t="s">
        <v>2705</v>
      </c>
      <c r="E439" s="21" t="s">
        <v>1153</v>
      </c>
      <c r="F439" s="6">
        <f t="shared" si="21"/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21" t="s">
        <v>1153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21" t="s">
        <v>1153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21" t="s">
        <v>1153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5" t="s">
        <v>2709</v>
      </c>
      <c r="E443" s="21" t="s">
        <v>1153</v>
      </c>
      <c r="F443" s="6">
        <f t="shared" si="21"/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21" t="s">
        <v>1153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21" t="s">
        <v>1153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21" t="s">
        <v>1153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21" t="s">
        <v>1153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21" t="s">
        <v>1153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24" t="s">
        <v>2498</v>
      </c>
      <c r="E449" s="21" t="s">
        <v>1152</v>
      </c>
      <c r="F449" s="6">
        <f>C450+C451+C452+C453+C454+C455+C456+C457+C458+C459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5" t="s">
        <v>2705</v>
      </c>
      <c r="E450" s="21" t="s">
        <v>1164</v>
      </c>
      <c r="F450" s="6">
        <f t="shared" si="21"/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21" t="s">
        <v>1164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21" t="s">
        <v>1164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21" t="s">
        <v>1164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5" t="s">
        <v>2709</v>
      </c>
      <c r="E454" s="21" t="s">
        <v>1164</v>
      </c>
      <c r="F454" s="6">
        <f t="shared" si="21"/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21" t="s">
        <v>1164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21" t="s">
        <v>1164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21" t="s">
        <v>1164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21" t="s">
        <v>1164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21" t="s">
        <v>1164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24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24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1115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1115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1337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1337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 t="s">
        <v>1337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1337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3405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C760+C763+C815+C825+C826+C827+C830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24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24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24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24" t="s">
        <v>2461</v>
      </c>
      <c r="E784" s="21" t="s">
        <v>1491</v>
      </c>
      <c r="F784" s="6">
        <f>C785+C786+C787+C788+C789+C790+C791+C792+C793+C794+C795+C796+C797+C798+C799+C800+C801+C802+C803+C804+C805+C806+C807+C808+C809+C810+C811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5" t="s">
        <v>2512</v>
      </c>
      <c r="E785" s="21" t="s">
        <v>1499</v>
      </c>
      <c r="F785" s="6">
        <f t="shared" si="36"/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21" t="s">
        <v>1499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21" t="s">
        <v>1499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21" t="s">
        <v>1499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21" t="s">
        <v>1499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21" t="s">
        <v>1499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21" t="s">
        <v>1499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5" t="s">
        <v>2519</v>
      </c>
      <c r="E792" s="21" t="s">
        <v>1499</v>
      </c>
      <c r="F792" s="6">
        <f t="shared" si="40"/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21" t="s">
        <v>1499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21" t="s">
        <v>1499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21" t="s">
        <v>1499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21" t="s">
        <v>1499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21" t="s">
        <v>1499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21" t="s">
        <v>1499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5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5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5" t="s">
        <v>2530</v>
      </c>
      <c r="E801" s="21" t="s">
        <v>1499</v>
      </c>
      <c r="F801" s="6">
        <f t="shared" si="40"/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21" t="s">
        <v>1499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21" t="s">
        <v>1499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5" t="s">
        <v>2879</v>
      </c>
      <c r="E804" s="21" t="s">
        <v>1499</v>
      </c>
      <c r="F804" s="6">
        <f t="shared" si="40"/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21" t="s">
        <v>1499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21" t="s">
        <v>1499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5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5" t="s">
        <v>2540</v>
      </c>
      <c r="E808" s="21" t="s">
        <v>1499</v>
      </c>
      <c r="F808" s="6">
        <f t="shared" si="40"/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21" t="s">
        <v>1499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21" t="s">
        <v>1499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21" t="s">
        <v>1499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24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24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2" t="s">
        <v>3024</v>
      </c>
      <c r="E815" s="21" t="s">
        <v>1474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3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3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3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3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3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3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3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3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3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2" t="s">
        <v>3037</v>
      </c>
      <c r="E825" s="21" t="s">
        <v>1474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2" t="s">
        <v>3038</v>
      </c>
      <c r="E826" s="21" t="s">
        <v>1474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2" t="s">
        <v>3028</v>
      </c>
      <c r="E827" s="21" t="s">
        <v>1474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3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3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9" t="s">
        <v>3041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3404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3140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3141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3142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3143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3143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3144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3145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3146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3147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3148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3149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3150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3151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3152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3142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3153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3154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3155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3156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3157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3158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3159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3160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3161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3162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3163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3164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3165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3166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3167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3168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3169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3170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3171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3172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3173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3174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3175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3176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3177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3178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3179</v>
      </c>
      <c r="E1093" s="21">
        <v>0</v>
      </c>
      <c r="F1093" s="6">
        <f>C1094+C1112+C1134+C1139+C1165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3180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3181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3182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3183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3184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3185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3186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3187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3188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3189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3190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3191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3192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3193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3194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3195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3196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3197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3198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3199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3200</v>
      </c>
      <c r="E1139" s="21" t="s">
        <v>1807</v>
      </c>
      <c r="F1139" s="6">
        <f>C1140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3201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3202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3203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3204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3203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3205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3203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2" t="s">
        <v>3206</v>
      </c>
      <c r="E1165" s="21" t="s">
        <v>1807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3" t="s">
        <v>3202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3203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3" t="s">
        <v>3207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3203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3" t="s">
        <v>3205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3203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3208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3209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3210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3211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3212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3213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3214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3215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3216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3217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3218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3219</v>
      </c>
      <c r="E1193" s="21" t="s">
        <v>1906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3220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3221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3222</v>
      </c>
      <c r="E1196" s="21" t="s">
        <v>1909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3223</v>
      </c>
      <c r="E1197" s="21" t="s">
        <v>1909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3224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3225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3226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3227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21" t="s">
        <v>1915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21" t="s">
        <v>1915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3228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21" t="s">
        <v>1915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21" t="s">
        <v>1915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21" t="s">
        <v>1915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21" t="s">
        <v>1915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3229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3230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3231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3232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21" t="s">
        <v>1929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21" t="s">
        <v>1929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21" t="s">
        <v>1929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21" t="s">
        <v>1929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21" t="s">
        <v>1929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21" t="s">
        <v>1929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21" t="s">
        <v>1929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21" t="s">
        <v>1929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3233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3234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3235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3236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3237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3238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3239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8" priority="9" operator="equal">
      <formula>"NOOK"</formula>
    </cfRule>
  </conditionalFormatting>
  <conditionalFormatting sqref="H14">
    <cfRule type="cellIs" dxfId="37" priority="8" operator="equal">
      <formula>"NOOK"</formula>
    </cfRule>
  </conditionalFormatting>
  <conditionalFormatting sqref="H21">
    <cfRule type="cellIs" dxfId="36" priority="7" operator="equal">
      <formula>"NOOK"</formula>
    </cfRule>
  </conditionalFormatting>
  <conditionalFormatting sqref="H95:H97">
    <cfRule type="cellIs" dxfId="35" priority="6" operator="equal">
      <formula>"NOOK"</formula>
    </cfRule>
  </conditionalFormatting>
  <conditionalFormatting sqref="H218">
    <cfRule type="cellIs" dxfId="34" priority="5" operator="equal">
      <formula>"NOOK"</formula>
    </cfRule>
  </conditionalFormatting>
  <conditionalFormatting sqref="H264:H266">
    <cfRule type="cellIs" dxfId="33" priority="4" operator="equal">
      <formula>"NOOK"</formula>
    </cfRule>
  </conditionalFormatting>
  <conditionalFormatting sqref="H285">
    <cfRule type="cellIs" dxfId="32" priority="3" operator="equal">
      <formula>"NOOK"</formula>
    </cfRule>
  </conditionalFormatting>
  <conditionalFormatting sqref="H295">
    <cfRule type="cellIs" dxfId="31" priority="2" operator="equal">
      <formula>"NOOK"</formula>
    </cfRule>
  </conditionalFormatting>
  <conditionalFormatting sqref="H227">
    <cfRule type="cellIs" dxfId="3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1187" zoomScaleNormal="100" workbookViewId="0">
      <selection activeCell="E2" sqref="E2:E1230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B124+B125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5" t="s">
        <v>2415</v>
      </c>
      <c r="D124" s="21" t="s">
        <v>838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5" t="s">
        <v>2881</v>
      </c>
      <c r="D125" s="21" t="s">
        <v>838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868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868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868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24" t="s">
        <v>2485</v>
      </c>
      <c r="D191" s="21" t="s">
        <v>905</v>
      </c>
      <c r="E191" s="6">
        <f>B192+B193+B194+B195+B196+B197+B198+B199+B200+B201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5" t="s">
        <v>2705</v>
      </c>
      <c r="D192" s="21" t="s">
        <v>906</v>
      </c>
      <c r="E192" s="6">
        <f t="shared" si="8"/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1" t="s">
        <v>906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1" t="s">
        <v>906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1" t="s">
        <v>906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5" t="s">
        <v>2709</v>
      </c>
      <c r="D196" s="21" t="s">
        <v>906</v>
      </c>
      <c r="E196" s="6">
        <f t="shared" si="8"/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1" t="s">
        <v>906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1" t="s">
        <v>906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1" t="s">
        <v>906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1" t="s">
        <v>906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1" t="s">
        <v>906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24" t="s">
        <v>2498</v>
      </c>
      <c r="D202" s="21" t="s">
        <v>905</v>
      </c>
      <c r="E202" s="6">
        <f>B203+B204+B205+B206+B207+B208+B209+B210+B211+B212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5" t="s">
        <v>2705</v>
      </c>
      <c r="D203" s="21" t="s">
        <v>917</v>
      </c>
      <c r="E203" s="6">
        <f t="shared" si="11"/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1" t="s">
        <v>917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1" t="s">
        <v>917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1" t="s">
        <v>917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5" t="s">
        <v>2709</v>
      </c>
      <c r="D207" s="21" t="s">
        <v>917</v>
      </c>
      <c r="E207" s="6">
        <f t="shared" si="11"/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1" t="s">
        <v>917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1" t="s">
        <v>917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1" t="s">
        <v>917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1" t="s">
        <v>917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1" t="s">
        <v>917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24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24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868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868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969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969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969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969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969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969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1115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1115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1115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24" t="s">
        <v>2485</v>
      </c>
      <c r="D438" s="21" t="s">
        <v>1152</v>
      </c>
      <c r="E438" s="6">
        <f>B439+B440+B441+B442+B443+B444+B445+B446+B447+B448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5" t="s">
        <v>2705</v>
      </c>
      <c r="D439" s="21" t="s">
        <v>1153</v>
      </c>
      <c r="E439" s="6">
        <f t="shared" si="21"/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21" t="s">
        <v>1153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21" t="s">
        <v>1153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21" t="s">
        <v>1153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5" t="s">
        <v>2709</v>
      </c>
      <c r="D443" s="21" t="s">
        <v>1153</v>
      </c>
      <c r="E443" s="6">
        <f t="shared" si="21"/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21" t="s">
        <v>1153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21" t="s">
        <v>1153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21" t="s">
        <v>1153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21" t="s">
        <v>1153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21" t="s">
        <v>1153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24" t="s">
        <v>2498</v>
      </c>
      <c r="D449" s="21" t="s">
        <v>1152</v>
      </c>
      <c r="E449" s="6">
        <f>B450+B451+B452+B453+B454+B455+B456+B457+B458+B459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5" t="s">
        <v>2705</v>
      </c>
      <c r="D450" s="21" t="s">
        <v>1164</v>
      </c>
      <c r="E450" s="6">
        <f t="shared" si="21"/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21" t="s">
        <v>1164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21" t="s">
        <v>1164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21" t="s">
        <v>1164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5" t="s">
        <v>2709</v>
      </c>
      <c r="D454" s="21" t="s">
        <v>1164</v>
      </c>
      <c r="E454" s="6">
        <f t="shared" si="21"/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21" t="s">
        <v>1164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21" t="s">
        <v>1164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21" t="s">
        <v>1164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21" t="s">
        <v>1164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21" t="s">
        <v>1164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24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24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1115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1115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1337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1337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 t="s">
        <v>1337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1337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3405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B760+B763+B815+B825+B826+B827+B830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24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24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24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24" t="s">
        <v>2461</v>
      </c>
      <c r="D784" s="21" t="s">
        <v>1491</v>
      </c>
      <c r="E784" s="6">
        <f>B785+B786+B787+B788+B789+B790+B791+B792+B793+B794+B795+B796+B797+B798+B799+B800+B801+B802+B803+B804+B805+B806+B807+B808+B809+B810+B811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5" t="s">
        <v>2512</v>
      </c>
      <c r="D785" s="21" t="s">
        <v>1499</v>
      </c>
      <c r="E785" s="6">
        <f t="shared" si="37"/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21" t="s">
        <v>1499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21" t="s">
        <v>1499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21" t="s">
        <v>1499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21" t="s">
        <v>1499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21" t="s">
        <v>1499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21" t="s">
        <v>1499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5" t="s">
        <v>2519</v>
      </c>
      <c r="D792" s="21" t="s">
        <v>1499</v>
      </c>
      <c r="E792" s="6">
        <f t="shared" si="40"/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21" t="s">
        <v>1499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21" t="s">
        <v>1499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21" t="s">
        <v>1499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21" t="s">
        <v>1499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21" t="s">
        <v>1499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21" t="s">
        <v>1499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5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5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5" t="s">
        <v>2530</v>
      </c>
      <c r="D801" s="21" t="s">
        <v>1499</v>
      </c>
      <c r="E801" s="6">
        <f t="shared" si="40"/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21" t="s">
        <v>1499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21" t="s">
        <v>1499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5" t="s">
        <v>2879</v>
      </c>
      <c r="D804" s="21" t="s">
        <v>1499</v>
      </c>
      <c r="E804" s="6">
        <f t="shared" si="40"/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21" t="s">
        <v>1499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21" t="s">
        <v>1499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5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5" t="s">
        <v>2540</v>
      </c>
      <c r="D808" s="21" t="s">
        <v>1499</v>
      </c>
      <c r="E808" s="6">
        <f t="shared" si="40"/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21" t="s">
        <v>1499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21" t="s">
        <v>1499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21" t="s">
        <v>1499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24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24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2" t="s">
        <v>3024</v>
      </c>
      <c r="D815" s="21" t="s">
        <v>1474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3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3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3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3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3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3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3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3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3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2" t="s">
        <v>3037</v>
      </c>
      <c r="D825" s="21" t="s">
        <v>1474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2" t="s">
        <v>3038</v>
      </c>
      <c r="D826" s="21" t="s">
        <v>1474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2" t="s">
        <v>3028</v>
      </c>
      <c r="D827" s="21" t="s">
        <v>1474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3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3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9" t="s">
        <v>3041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3404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3140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3141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3142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3143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3143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3144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3145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3146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3147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3148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3149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3150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3151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3152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3142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3153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3154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3155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3156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3157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3158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3159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3160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3161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3162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3163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3164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3165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3166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3167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3168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3169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3170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3171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3172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3173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3174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3175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3176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3177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3178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3179</v>
      </c>
      <c r="D1093" s="21">
        <v>0</v>
      </c>
      <c r="E1093" s="6">
        <f>B1094+B1112+B1134+B1139+B1165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3180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3181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3182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3183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3184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3185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3186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3187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3188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3189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3190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3191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3192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3193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3194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3195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3196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3197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3198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3199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3200</v>
      </c>
      <c r="D1139" s="21" t="s">
        <v>1807</v>
      </c>
      <c r="E1139" s="6">
        <f>B1140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3201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3202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3203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3204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3203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3205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3203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2" t="s">
        <v>3206</v>
      </c>
      <c r="D1165" s="21" t="s">
        <v>1807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3" t="s">
        <v>3202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3203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3" t="s">
        <v>3207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3203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3" t="s">
        <v>3205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3203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3208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3209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3210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3211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3212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3213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3214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3215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3216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3217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3218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3219</v>
      </c>
      <c r="D1193" s="21" t="s">
        <v>1906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3220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3221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3222</v>
      </c>
      <c r="D1196" s="21" t="s">
        <v>1909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3223</v>
      </c>
      <c r="D1197" s="21" t="s">
        <v>1909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3224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3225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3226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3227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21" t="s">
        <v>1915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21" t="s">
        <v>1915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3228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21" t="s">
        <v>1915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21" t="s">
        <v>1915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21" t="s">
        <v>1915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21" t="s">
        <v>1915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3229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3230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3231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3232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21" t="s">
        <v>1929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21" t="s">
        <v>1929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21" t="s">
        <v>1929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21" t="s">
        <v>1929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21" t="s">
        <v>1929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21" t="s">
        <v>1929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21" t="s">
        <v>1929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21" t="s">
        <v>1929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3233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3234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3235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3236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3237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3238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3239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29" priority="9" operator="equal">
      <formula>"NOOK"</formula>
    </cfRule>
  </conditionalFormatting>
  <conditionalFormatting sqref="G14">
    <cfRule type="cellIs" dxfId="28" priority="8" operator="equal">
      <formula>"NOOK"</formula>
    </cfRule>
  </conditionalFormatting>
  <conditionalFormatting sqref="G21">
    <cfRule type="cellIs" dxfId="27" priority="7" operator="equal">
      <formula>"NOOK"</formula>
    </cfRule>
  </conditionalFormatting>
  <conditionalFormatting sqref="G95:G97">
    <cfRule type="cellIs" dxfId="26" priority="6" operator="equal">
      <formula>"NOOK"</formula>
    </cfRule>
  </conditionalFormatting>
  <conditionalFormatting sqref="G218">
    <cfRule type="cellIs" dxfId="25" priority="5" operator="equal">
      <formula>"NOOK"</formula>
    </cfRule>
  </conditionalFormatting>
  <conditionalFormatting sqref="G264:G266">
    <cfRule type="cellIs" dxfId="24" priority="4" operator="equal">
      <formula>"NOOK"</formula>
    </cfRule>
  </conditionalFormatting>
  <conditionalFormatting sqref="G285">
    <cfRule type="cellIs" dxfId="23" priority="3" operator="equal">
      <formula>"NOOK"</formula>
    </cfRule>
  </conditionalFormatting>
  <conditionalFormatting sqref="G295">
    <cfRule type="cellIs" dxfId="22" priority="2" operator="equal">
      <formula>"NOOK"</formula>
    </cfRule>
  </conditionalFormatting>
  <conditionalFormatting sqref="G227">
    <cfRule type="cellIs" dxfId="2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887" zoomScaleNormal="100" workbookViewId="0">
      <selection activeCell="E1229" sqref="E1229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B124+B125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5" t="s">
        <v>2415</v>
      </c>
      <c r="D124" s="21" t="s">
        <v>838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5" t="s">
        <v>2881</v>
      </c>
      <c r="D125" s="21" t="s">
        <v>838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868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868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868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24" t="s">
        <v>2485</v>
      </c>
      <c r="D191" s="21" t="s">
        <v>905</v>
      </c>
      <c r="E191" s="6">
        <f>B192+B193+B194+B195+B196+B197+B198+B199+B200+B201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5" t="s">
        <v>2705</v>
      </c>
      <c r="D192" s="21" t="s">
        <v>906</v>
      </c>
      <c r="E192" s="6">
        <f t="shared" si="8"/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1" t="s">
        <v>906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1" t="s">
        <v>906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1" t="s">
        <v>906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5" t="s">
        <v>2709</v>
      </c>
      <c r="D196" s="21" t="s">
        <v>906</v>
      </c>
      <c r="E196" s="6">
        <f t="shared" si="8"/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1" t="s">
        <v>906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1" t="s">
        <v>906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1" t="s">
        <v>906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1" t="s">
        <v>906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1" t="s">
        <v>906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24" t="s">
        <v>2498</v>
      </c>
      <c r="D202" s="21" t="s">
        <v>905</v>
      </c>
      <c r="E202" s="6">
        <f>B203+B204+B205+B206+B207+B208+B209+B210+B211+B212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5" t="s">
        <v>2705</v>
      </c>
      <c r="D203" s="21" t="s">
        <v>917</v>
      </c>
      <c r="E203" s="6">
        <f t="shared" si="11"/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1" t="s">
        <v>917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1" t="s">
        <v>917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1" t="s">
        <v>917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5" t="s">
        <v>2709</v>
      </c>
      <c r="D207" s="21" t="s">
        <v>917</v>
      </c>
      <c r="E207" s="6">
        <f t="shared" si="11"/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1" t="s">
        <v>917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1" t="s">
        <v>917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1" t="s">
        <v>917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1" t="s">
        <v>917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1" t="s">
        <v>917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24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24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868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868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969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969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969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969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969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969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1115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1115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1115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24" t="s">
        <v>2485</v>
      </c>
      <c r="D438" s="21" t="s">
        <v>1152</v>
      </c>
      <c r="E438" s="6">
        <f>B439+B440+B441+B442+B443+B444+B445+B446+B447+B448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5" t="s">
        <v>2705</v>
      </c>
      <c r="D439" s="21" t="s">
        <v>1153</v>
      </c>
      <c r="E439" s="6">
        <f t="shared" si="21"/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21" t="s">
        <v>1153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21" t="s">
        <v>1153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21" t="s">
        <v>1153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5" t="s">
        <v>2709</v>
      </c>
      <c r="D443" s="21" t="s">
        <v>1153</v>
      </c>
      <c r="E443" s="6">
        <f t="shared" si="21"/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21" t="s">
        <v>1153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21" t="s">
        <v>1153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21" t="s">
        <v>1153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21" t="s">
        <v>1153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21" t="s">
        <v>1153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24" t="s">
        <v>2498</v>
      </c>
      <c r="D449" s="21" t="s">
        <v>1152</v>
      </c>
      <c r="E449" s="6">
        <f>B450+B451+B452+B453+B454+B455+B456+B457+B458+B459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5" t="s">
        <v>2705</v>
      </c>
      <c r="D450" s="21" t="s">
        <v>1164</v>
      </c>
      <c r="E450" s="6">
        <f t="shared" si="21"/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21" t="s">
        <v>1164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21" t="s">
        <v>1164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21" t="s">
        <v>1164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5" t="s">
        <v>2709</v>
      </c>
      <c r="D454" s="21" t="s">
        <v>1164</v>
      </c>
      <c r="E454" s="6">
        <f t="shared" si="21"/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21" t="s">
        <v>1164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21" t="s">
        <v>1164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21" t="s">
        <v>1164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21" t="s">
        <v>1164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21" t="s">
        <v>1164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24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24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1115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1115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1337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1337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 t="s">
        <v>1337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1337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3405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B760+B763+B815+B825+B826+B827+B830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24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24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24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24" t="s">
        <v>2461</v>
      </c>
      <c r="D784" s="21" t="s">
        <v>1491</v>
      </c>
      <c r="E784" s="6">
        <f>B785+B786+B787+B788+B789+B790+B791+B792+B793+B794+B795+B796+B797+B798+B799+B800+B801+B802+B803+B804+B805+B806+B807+B808+B809+B810+B811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5" t="s">
        <v>2512</v>
      </c>
      <c r="D785" s="21" t="s">
        <v>1499</v>
      </c>
      <c r="E785" s="6">
        <f t="shared" si="37"/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21" t="s">
        <v>1499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21" t="s">
        <v>1499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21" t="s">
        <v>1499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21" t="s">
        <v>1499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21" t="s">
        <v>1499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21" t="s">
        <v>1499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5" t="s">
        <v>2519</v>
      </c>
      <c r="D792" s="21" t="s">
        <v>1499</v>
      </c>
      <c r="E792" s="6">
        <f t="shared" si="40"/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21" t="s">
        <v>1499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21" t="s">
        <v>1499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21" t="s">
        <v>1499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21" t="s">
        <v>1499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21" t="s">
        <v>1499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21" t="s">
        <v>1499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5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5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5" t="s">
        <v>2530</v>
      </c>
      <c r="D801" s="21" t="s">
        <v>1499</v>
      </c>
      <c r="E801" s="6">
        <f t="shared" si="40"/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21" t="s">
        <v>1499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21" t="s">
        <v>1499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5" t="s">
        <v>2879</v>
      </c>
      <c r="D804" s="21" t="s">
        <v>1499</v>
      </c>
      <c r="E804" s="6">
        <f t="shared" si="40"/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21" t="s">
        <v>1499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21" t="s">
        <v>1499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5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5" t="s">
        <v>2540</v>
      </c>
      <c r="D808" s="21" t="s">
        <v>1499</v>
      </c>
      <c r="E808" s="6">
        <f t="shared" si="40"/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21" t="s">
        <v>1499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21" t="s">
        <v>1499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21" t="s">
        <v>1499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24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24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2" t="s">
        <v>3024</v>
      </c>
      <c r="D815" s="21" t="s">
        <v>1474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3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3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3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3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3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3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3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3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3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2" t="s">
        <v>3037</v>
      </c>
      <c r="D825" s="21" t="s">
        <v>1474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2" t="s">
        <v>3038</v>
      </c>
      <c r="D826" s="21" t="s">
        <v>1474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2" t="s">
        <v>3028</v>
      </c>
      <c r="D827" s="21" t="s">
        <v>1474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3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3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9" t="s">
        <v>3041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3404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3140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3141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3142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3143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3143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3144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3145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3146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3147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3148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3149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3150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3151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3152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3142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3153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3154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3155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3156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3157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3158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3159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3160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3161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3162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3163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3164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3165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3166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3167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3168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3169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3170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3171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3172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3173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3174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3175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3176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3177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3178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3179</v>
      </c>
      <c r="D1093" s="21">
        <v>0</v>
      </c>
      <c r="E1093" s="6">
        <f>B1094+B1112+B1134+B1139+B1165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3180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3181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3182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3183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3184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3185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3186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3187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3188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3189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3190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3191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3192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3193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3194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3195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3196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3197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3198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3199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3200</v>
      </c>
      <c r="D1139" s="21" t="s">
        <v>1807</v>
      </c>
      <c r="E1139" s="6">
        <f>B1140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3201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3202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3203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3204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3203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3205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3203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2" t="s">
        <v>3206</v>
      </c>
      <c r="D1165" s="21" t="s">
        <v>1807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3" t="s">
        <v>3202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3203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3" t="s">
        <v>3207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3203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3" t="s">
        <v>3205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3203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3208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3209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3210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3211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3212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3213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3214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3215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3216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3217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3218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3219</v>
      </c>
      <c r="D1193" s="21" t="s">
        <v>1906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3220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3221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3222</v>
      </c>
      <c r="D1196" s="21" t="s">
        <v>1909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3223</v>
      </c>
      <c r="D1197" s="21" t="s">
        <v>1909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3224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3225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3226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3227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21" t="s">
        <v>1915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21" t="s">
        <v>1915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3228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21" t="s">
        <v>1915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21" t="s">
        <v>1915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21" t="s">
        <v>1915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21" t="s">
        <v>1915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3229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3230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3231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3232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21" t="s">
        <v>1929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21" t="s">
        <v>1929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21" t="s">
        <v>1929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21" t="s">
        <v>1929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21" t="s">
        <v>1929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21" t="s">
        <v>1929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21" t="s">
        <v>1929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21" t="s">
        <v>1929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3233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3234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3235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3236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3237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3238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3239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0" priority="9" operator="equal">
      <formula>"NOOK"</formula>
    </cfRule>
  </conditionalFormatting>
  <conditionalFormatting sqref="G14">
    <cfRule type="cellIs" dxfId="19" priority="8" operator="equal">
      <formula>"NOOK"</formula>
    </cfRule>
  </conditionalFormatting>
  <conditionalFormatting sqref="G21">
    <cfRule type="cellIs" dxfId="18" priority="7" operator="equal">
      <formula>"NOOK"</formula>
    </cfRule>
  </conditionalFormatting>
  <conditionalFormatting sqref="G95:G97">
    <cfRule type="cellIs" dxfId="17" priority="6" operator="equal">
      <formula>"NOOK"</formula>
    </cfRule>
  </conditionalFormatting>
  <conditionalFormatting sqref="G218">
    <cfRule type="cellIs" dxfId="16" priority="5" operator="equal">
      <formula>"NOOK"</formula>
    </cfRule>
  </conditionalFormatting>
  <conditionalFormatting sqref="G264:G266">
    <cfRule type="cellIs" dxfId="15" priority="4" operator="equal">
      <formula>"NOOK"</formula>
    </cfRule>
  </conditionalFormatting>
  <conditionalFormatting sqref="G285">
    <cfRule type="cellIs" dxfId="14" priority="3" operator="equal">
      <formula>"NOOK"</formula>
    </cfRule>
  </conditionalFormatting>
  <conditionalFormatting sqref="G295">
    <cfRule type="cellIs" dxfId="13" priority="2" operator="equal">
      <formula>"NOOK"</formula>
    </cfRule>
  </conditionalFormatting>
  <conditionalFormatting sqref="G227">
    <cfRule type="cellIs" dxfId="1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0"/>
  <sheetViews>
    <sheetView zoomScaleNormal="100" workbookViewId="0"/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3240</v>
      </c>
      <c r="G1" s="18" t="s">
        <v>3241</v>
      </c>
    </row>
    <row r="2" spans="1:7" x14ac:dyDescent="0.2">
      <c r="A2" s="5" t="s">
        <v>1945</v>
      </c>
      <c r="B2" s="3">
        <v>0</v>
      </c>
      <c r="C2" s="20" t="s">
        <v>3242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3243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3244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3245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3246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3247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3248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3249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3250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3243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3244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3245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3246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3247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3248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3249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3251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3243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3244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3245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3246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3247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3248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3249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3252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3243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3244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3245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3246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3247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3248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3249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3253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3243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3244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3245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3246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3247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3248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3249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3254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3255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3256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3257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3258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3259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3260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3261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3262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3263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3264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3265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3266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3267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3268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3269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3270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3271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3272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3273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3274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3275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3276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3277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3273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3274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3275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3276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3278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3279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3280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3281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3282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3283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3284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3285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3286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3287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3288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3289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3290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3291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3292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3293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3294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3295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3296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3297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3298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3299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3300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3301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3302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3303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3304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3305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3306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3307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3308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3309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3310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3311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3312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3313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3314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3315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3316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3317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3318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3319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3320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3321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3322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3323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3324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3325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3326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3327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3328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3329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3330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3331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3332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3333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3334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3335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3336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3337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3338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3339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ref="G265:G327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3340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3341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3342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3343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3344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20" t="s">
        <v>3345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3" t="s">
        <v>3346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3" t="s">
        <v>3347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3" t="s">
        <v>3348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3349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3350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3351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3352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3353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3354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3355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3344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3356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2231</v>
      </c>
      <c r="B288" s="3">
        <v>0</v>
      </c>
      <c r="C288" s="20" t="s">
        <v>3357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</row>
    <row r="289" spans="1:7" x14ac:dyDescent="0.2">
      <c r="A289" s="5" t="s">
        <v>2232</v>
      </c>
      <c r="B289" s="3">
        <v>0</v>
      </c>
      <c r="C289" s="20" t="s">
        <v>3358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2233</v>
      </c>
      <c r="B290" s="3">
        <v>0</v>
      </c>
      <c r="C290" s="33" t="s">
        <v>3359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2234</v>
      </c>
      <c r="B291" s="3">
        <v>0</v>
      </c>
      <c r="C291" s="35" t="s">
        <v>3360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2235</v>
      </c>
      <c r="B292" s="3">
        <v>0</v>
      </c>
      <c r="C292" s="35" t="s">
        <v>3361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2236</v>
      </c>
      <c r="B293" s="3">
        <v>0</v>
      </c>
      <c r="C293" s="35" t="s">
        <v>3362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2237</v>
      </c>
      <c r="B294" s="3">
        <v>0</v>
      </c>
      <c r="C294" s="35" t="s">
        <v>3363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2238</v>
      </c>
      <c r="B295" s="3">
        <v>0</v>
      </c>
      <c r="C295" s="35" t="s">
        <v>3364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2239</v>
      </c>
      <c r="B296" s="3">
        <v>0</v>
      </c>
      <c r="C296" s="35" t="s">
        <v>3365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2240</v>
      </c>
      <c r="B297" s="3">
        <v>0</v>
      </c>
      <c r="C297" s="35" t="s">
        <v>3366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2241</v>
      </c>
      <c r="B298" s="3">
        <v>0</v>
      </c>
      <c r="C298" s="33" t="s">
        <v>3367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2242</v>
      </c>
      <c r="B299" s="3">
        <v>0</v>
      </c>
      <c r="C299" s="35" t="s">
        <v>3360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2243</v>
      </c>
      <c r="B300" s="3">
        <v>0</v>
      </c>
      <c r="C300" s="35" t="s">
        <v>3361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2244</v>
      </c>
      <c r="B301" s="3">
        <v>0</v>
      </c>
      <c r="C301" s="35" t="s">
        <v>3362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2245</v>
      </c>
      <c r="B302" s="3">
        <v>0</v>
      </c>
      <c r="C302" s="35" t="s">
        <v>3363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2246</v>
      </c>
      <c r="B303" s="3">
        <v>0</v>
      </c>
      <c r="C303" s="35" t="s">
        <v>3364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2247</v>
      </c>
      <c r="B304" s="3">
        <v>0</v>
      </c>
      <c r="C304" s="35" t="s">
        <v>3365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2248</v>
      </c>
      <c r="B305" s="3">
        <v>0</v>
      </c>
      <c r="C305" s="35" t="s">
        <v>3366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2249</v>
      </c>
      <c r="B306" s="3">
        <v>0</v>
      </c>
      <c r="C306" s="20" t="s">
        <v>3368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2252</v>
      </c>
      <c r="B309" s="3">
        <v>0</v>
      </c>
      <c r="C309" s="20" t="s">
        <v>3369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2255</v>
      </c>
      <c r="B312" s="3">
        <v>0</v>
      </c>
      <c r="C312" s="20" t="s">
        <v>3370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2258</v>
      </c>
      <c r="B315" s="3">
        <v>0</v>
      </c>
      <c r="C315" s="20" t="s">
        <v>3371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2262</v>
      </c>
      <c r="B319" s="3">
        <v>0</v>
      </c>
      <c r="C319" s="20" t="s">
        <v>3372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2266</v>
      </c>
      <c r="B323" s="3">
        <v>0</v>
      </c>
      <c r="C323" s="20" t="s">
        <v>3373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2271</v>
      </c>
      <c r="B328" s="3">
        <v>0</v>
      </c>
      <c r="C328" s="33" t="s">
        <v>3374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ref="G328:G391" si="17">IF(F328&lt;&gt;0,"NOOK","OK")</f>
        <v>OK</v>
      </c>
    </row>
    <row r="329" spans="1:7" x14ac:dyDescent="0.2">
      <c r="A329" s="5" t="s">
        <v>2272</v>
      </c>
      <c r="B329" s="3">
        <v>0</v>
      </c>
      <c r="C329" s="33" t="s">
        <v>3375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si="17"/>
        <v>OK</v>
      </c>
    </row>
    <row r="330" spans="1:7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</row>
    <row r="331" spans="1:7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</row>
    <row r="332" spans="1:7" x14ac:dyDescent="0.2">
      <c r="A332" s="5" t="s">
        <v>2275</v>
      </c>
      <c r="B332" s="3">
        <v>0</v>
      </c>
      <c r="C332" s="20" t="s">
        <v>3376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</row>
    <row r="333" spans="1:7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</row>
    <row r="334" spans="1:7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</row>
    <row r="335" spans="1:7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</row>
    <row r="336" spans="1:7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</row>
    <row r="337" spans="1:7" x14ac:dyDescent="0.2">
      <c r="A337" s="5" t="s">
        <v>2280</v>
      </c>
      <c r="B337" s="3">
        <v>0</v>
      </c>
      <c r="C337" s="33" t="s">
        <v>3374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</row>
    <row r="338" spans="1:7" x14ac:dyDescent="0.2">
      <c r="A338" s="5" t="s">
        <v>2281</v>
      </c>
      <c r="B338" s="3">
        <v>0</v>
      </c>
      <c r="C338" s="33" t="s">
        <v>3375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</row>
    <row r="339" spans="1:7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</row>
    <row r="340" spans="1:7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</row>
    <row r="341" spans="1:7" x14ac:dyDescent="0.2">
      <c r="A341" s="5" t="s">
        <v>2284</v>
      </c>
      <c r="B341" s="3">
        <v>0</v>
      </c>
      <c r="C341" s="20" t="s">
        <v>3377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</row>
    <row r="342" spans="1:7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</row>
    <row r="343" spans="1:7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</row>
    <row r="344" spans="1:7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</row>
    <row r="345" spans="1:7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</row>
    <row r="346" spans="1:7" x14ac:dyDescent="0.2">
      <c r="A346" s="5" t="s">
        <v>2289</v>
      </c>
      <c r="B346" s="3">
        <v>0</v>
      </c>
      <c r="C346" s="33" t="s">
        <v>3374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</row>
    <row r="347" spans="1:7" x14ac:dyDescent="0.2">
      <c r="A347" s="5" t="s">
        <v>2290</v>
      </c>
      <c r="B347" s="3">
        <v>0</v>
      </c>
      <c r="C347" s="33" t="s">
        <v>3375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</row>
    <row r="348" spans="1:7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</row>
    <row r="349" spans="1:7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</row>
    <row r="350" spans="1:7" x14ac:dyDescent="0.2">
      <c r="A350" s="5" t="s">
        <v>2293</v>
      </c>
      <c r="B350" s="3">
        <v>0</v>
      </c>
      <c r="C350" s="20" t="s">
        <v>3378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</row>
    <row r="351" spans="1:7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</row>
    <row r="352" spans="1:7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</row>
    <row r="353" spans="1:7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</row>
    <row r="354" spans="1:7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</row>
    <row r="355" spans="1:7" x14ac:dyDescent="0.2">
      <c r="A355" s="5" t="s">
        <v>2298</v>
      </c>
      <c r="B355" s="3">
        <v>0</v>
      </c>
      <c r="C355" s="33" t="s">
        <v>3374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</row>
    <row r="356" spans="1:7" x14ac:dyDescent="0.2">
      <c r="A356" s="5" t="s">
        <v>2299</v>
      </c>
      <c r="B356" s="3">
        <v>0</v>
      </c>
      <c r="C356" s="33" t="s">
        <v>3375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</row>
    <row r="357" spans="1:7" x14ac:dyDescent="0.2">
      <c r="A357" s="5" t="s">
        <v>2300</v>
      </c>
      <c r="B357" s="3">
        <v>0</v>
      </c>
      <c r="C357" s="33" t="s">
        <v>3379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</row>
    <row r="358" spans="1:7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</row>
    <row r="359" spans="1:7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</row>
    <row r="360" spans="1:7" x14ac:dyDescent="0.2">
      <c r="A360" s="5" t="s">
        <v>2303</v>
      </c>
      <c r="B360" s="3">
        <v>0</v>
      </c>
      <c r="C360" s="20" t="s">
        <v>3380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</row>
    <row r="361" spans="1:7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</row>
    <row r="362" spans="1:7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</row>
    <row r="363" spans="1:7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</row>
    <row r="364" spans="1:7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</row>
    <row r="365" spans="1:7" x14ac:dyDescent="0.2">
      <c r="A365" s="5" t="s">
        <v>2308</v>
      </c>
      <c r="B365" s="3">
        <v>0</v>
      </c>
      <c r="C365" s="33" t="s">
        <v>3374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</row>
    <row r="366" spans="1:7" x14ac:dyDescent="0.2">
      <c r="A366" s="5" t="s">
        <v>2309</v>
      </c>
      <c r="B366" s="3">
        <v>0</v>
      </c>
      <c r="C366" s="33" t="s">
        <v>3375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</row>
    <row r="367" spans="1:7" x14ac:dyDescent="0.2">
      <c r="A367" s="5" t="s">
        <v>2310</v>
      </c>
      <c r="B367" s="3">
        <v>0</v>
      </c>
      <c r="C367" s="33" t="s">
        <v>3379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</row>
    <row r="368" spans="1:7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</row>
    <row r="369" spans="1:7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</row>
    <row r="370" spans="1:7" x14ac:dyDescent="0.2">
      <c r="A370" s="5" t="s">
        <v>2313</v>
      </c>
      <c r="B370" s="3">
        <v>0</v>
      </c>
      <c r="C370" s="20" t="s">
        <v>3381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</row>
    <row r="371" spans="1:7" x14ac:dyDescent="0.2">
      <c r="A371" s="5" t="s">
        <v>2314</v>
      </c>
      <c r="B371" s="3">
        <v>0</v>
      </c>
      <c r="C371" s="33" t="s">
        <v>3382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</row>
    <row r="372" spans="1:7" x14ac:dyDescent="0.2">
      <c r="A372" s="5" t="s">
        <v>2315</v>
      </c>
      <c r="B372" s="3">
        <v>0</v>
      </c>
      <c r="C372" s="33" t="s">
        <v>3383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</row>
    <row r="373" spans="1:7" x14ac:dyDescent="0.2">
      <c r="A373" s="5" t="s">
        <v>2316</v>
      </c>
      <c r="B373" s="3">
        <v>0</v>
      </c>
      <c r="C373" s="33" t="s">
        <v>3384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</row>
    <row r="374" spans="1:7" x14ac:dyDescent="0.2">
      <c r="A374" s="5" t="s">
        <v>2317</v>
      </c>
      <c r="B374" s="3">
        <v>0</v>
      </c>
      <c r="C374" s="33" t="s">
        <v>3385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</row>
    <row r="375" spans="1:7" x14ac:dyDescent="0.2">
      <c r="A375" s="5" t="s">
        <v>2318</v>
      </c>
      <c r="B375" s="3">
        <v>0</v>
      </c>
      <c r="C375" s="33" t="s">
        <v>3386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</row>
    <row r="376" spans="1:7" x14ac:dyDescent="0.2">
      <c r="A376" s="5" t="s">
        <v>2319</v>
      </c>
      <c r="B376" s="3">
        <v>0</v>
      </c>
      <c r="C376" s="33" t="s">
        <v>3387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</row>
    <row r="377" spans="1:7" x14ac:dyDescent="0.2">
      <c r="A377" s="5" t="s">
        <v>2320</v>
      </c>
      <c r="B377" s="3">
        <v>0</v>
      </c>
      <c r="C377" s="20" t="s">
        <v>3388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</row>
    <row r="378" spans="1:7" x14ac:dyDescent="0.2">
      <c r="A378" s="5" t="s">
        <v>2321</v>
      </c>
      <c r="B378" s="3">
        <v>0</v>
      </c>
      <c r="C378" s="33" t="s">
        <v>3382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</row>
    <row r="379" spans="1:7" x14ac:dyDescent="0.2">
      <c r="A379" s="5" t="s">
        <v>2322</v>
      </c>
      <c r="B379" s="3">
        <v>0</v>
      </c>
      <c r="C379" s="33" t="s">
        <v>3383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</row>
    <row r="380" spans="1:7" x14ac:dyDescent="0.2">
      <c r="A380" s="5" t="s">
        <v>2323</v>
      </c>
      <c r="B380" s="3">
        <v>0</v>
      </c>
      <c r="C380" s="33" t="s">
        <v>3384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</row>
    <row r="381" spans="1:7" x14ac:dyDescent="0.2">
      <c r="A381" s="5" t="s">
        <v>2324</v>
      </c>
      <c r="B381" s="3">
        <v>0</v>
      </c>
      <c r="C381" s="33" t="s">
        <v>3385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</row>
    <row r="382" spans="1:7" x14ac:dyDescent="0.2">
      <c r="A382" s="5" t="s">
        <v>2325</v>
      </c>
      <c r="B382" s="3">
        <v>0</v>
      </c>
      <c r="C382" s="33" t="s">
        <v>3386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</row>
    <row r="383" spans="1:7" x14ac:dyDescent="0.2">
      <c r="A383" s="5" t="s">
        <v>2326</v>
      </c>
      <c r="B383" s="3">
        <v>0</v>
      </c>
      <c r="C383" s="33" t="s">
        <v>3389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</row>
    <row r="384" spans="1:7" x14ac:dyDescent="0.2">
      <c r="A384" s="5" t="s">
        <v>2327</v>
      </c>
      <c r="B384" s="3">
        <v>0</v>
      </c>
      <c r="C384" s="20" t="s">
        <v>3390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</row>
    <row r="385" spans="1:7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</row>
    <row r="386" spans="1:7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</row>
    <row r="387" spans="1:7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</row>
    <row r="388" spans="1:7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</row>
    <row r="389" spans="1:7" x14ac:dyDescent="0.2">
      <c r="A389" s="5" t="s">
        <v>2332</v>
      </c>
      <c r="B389" s="3">
        <v>0</v>
      </c>
      <c r="C389" s="33" t="s">
        <v>3374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</row>
    <row r="390" spans="1:7" x14ac:dyDescent="0.2">
      <c r="A390" s="5" t="s">
        <v>2333</v>
      </c>
      <c r="B390" s="3">
        <v>0</v>
      </c>
      <c r="C390" s="33" t="s">
        <v>3375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</row>
    <row r="391" spans="1:7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</row>
    <row r="392" spans="1:7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ref="G392:G450" si="20">IF(F392&lt;&gt;0,"NOOK","OK")</f>
        <v>OK</v>
      </c>
    </row>
    <row r="393" spans="1:7" x14ac:dyDescent="0.2">
      <c r="A393" s="5" t="s">
        <v>2336</v>
      </c>
      <c r="B393" s="3">
        <v>0</v>
      </c>
      <c r="C393" s="20" t="s">
        <v>3391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si="20"/>
        <v>OK</v>
      </c>
    </row>
    <row r="394" spans="1:7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</row>
    <row r="395" spans="1:7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</row>
    <row r="396" spans="1:7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</row>
    <row r="397" spans="1:7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</row>
    <row r="398" spans="1:7" x14ac:dyDescent="0.2">
      <c r="A398" s="5" t="s">
        <v>2341</v>
      </c>
      <c r="B398" s="3">
        <v>0</v>
      </c>
      <c r="C398" s="33" t="s">
        <v>3374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</row>
    <row r="399" spans="1:7" x14ac:dyDescent="0.2">
      <c r="A399" s="5" t="s">
        <v>2342</v>
      </c>
      <c r="B399" s="3">
        <v>0</v>
      </c>
      <c r="C399" s="33" t="s">
        <v>3375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</row>
    <row r="400" spans="1:7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</row>
    <row r="401" spans="1:7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</row>
    <row r="402" spans="1:7" x14ac:dyDescent="0.2">
      <c r="A402" s="5" t="s">
        <v>2345</v>
      </c>
      <c r="B402" s="3">
        <v>0</v>
      </c>
      <c r="C402" s="20" t="s">
        <v>3392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</row>
    <row r="403" spans="1:7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</row>
    <row r="404" spans="1:7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</row>
    <row r="405" spans="1:7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</row>
    <row r="406" spans="1:7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</row>
    <row r="407" spans="1:7" x14ac:dyDescent="0.2">
      <c r="A407" s="5" t="s">
        <v>2350</v>
      </c>
      <c r="B407" s="3">
        <v>0</v>
      </c>
      <c r="C407" s="33" t="s">
        <v>3374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</row>
    <row r="408" spans="1:7" x14ac:dyDescent="0.2">
      <c r="A408" s="5" t="s">
        <v>2351</v>
      </c>
      <c r="B408" s="3">
        <v>0</v>
      </c>
      <c r="C408" s="33" t="s">
        <v>3375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</row>
    <row r="409" spans="1:7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</row>
    <row r="410" spans="1:7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</row>
    <row r="411" spans="1:7" x14ac:dyDescent="0.2">
      <c r="A411" s="5" t="s">
        <v>2354</v>
      </c>
      <c r="B411" s="3">
        <v>0</v>
      </c>
      <c r="C411" s="20" t="s">
        <v>3393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</row>
    <row r="412" spans="1:7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</row>
    <row r="413" spans="1:7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</row>
    <row r="414" spans="1:7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</row>
    <row r="415" spans="1:7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</row>
    <row r="416" spans="1:7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</row>
    <row r="417" spans="1:7" x14ac:dyDescent="0.2">
      <c r="A417" s="5" t="s">
        <v>2360</v>
      </c>
      <c r="B417" s="3">
        <v>0</v>
      </c>
      <c r="C417" s="37" t="s">
        <v>3243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</row>
    <row r="418" spans="1:7" x14ac:dyDescent="0.2">
      <c r="A418" s="5" t="s">
        <v>2361</v>
      </c>
      <c r="B418" s="3">
        <v>0</v>
      </c>
      <c r="C418" s="37" t="s">
        <v>3244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</row>
    <row r="419" spans="1:7" x14ac:dyDescent="0.2">
      <c r="A419" s="5" t="s">
        <v>2362</v>
      </c>
      <c r="B419" s="3">
        <v>0</v>
      </c>
      <c r="C419" s="37" t="s">
        <v>3245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</row>
    <row r="420" spans="1:7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</row>
    <row r="421" spans="1:7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</row>
    <row r="422" spans="1:7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</row>
    <row r="423" spans="1:7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</row>
    <row r="424" spans="1:7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</row>
    <row r="425" spans="1:7" x14ac:dyDescent="0.2">
      <c r="A425" s="5" t="s">
        <v>2368</v>
      </c>
      <c r="B425" s="3">
        <v>0</v>
      </c>
      <c r="C425" s="35" t="s">
        <v>3246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</row>
    <row r="426" spans="1:7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</row>
    <row r="427" spans="1:7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</row>
    <row r="428" spans="1:7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</row>
    <row r="429" spans="1:7" x14ac:dyDescent="0.2">
      <c r="A429" s="5" t="s">
        <v>2372</v>
      </c>
      <c r="B429" s="3">
        <v>0</v>
      </c>
      <c r="C429" s="35" t="s">
        <v>3247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</row>
    <row r="430" spans="1:7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</row>
    <row r="431" spans="1:7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</row>
    <row r="432" spans="1:7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</row>
    <row r="433" spans="1:7" x14ac:dyDescent="0.2">
      <c r="A433" s="5" t="s">
        <v>2376</v>
      </c>
      <c r="B433" s="3">
        <v>0</v>
      </c>
      <c r="C433" s="35" t="s">
        <v>3248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</row>
    <row r="434" spans="1:7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</row>
    <row r="435" spans="1:7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</row>
    <row r="436" spans="1:7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</row>
    <row r="437" spans="1:7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</row>
    <row r="438" spans="1:7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</row>
    <row r="439" spans="1:7" x14ac:dyDescent="0.2">
      <c r="A439" s="5" t="s">
        <v>2382</v>
      </c>
      <c r="B439" s="3">
        <v>0</v>
      </c>
      <c r="C439" s="35" t="s">
        <v>3249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</row>
    <row r="440" spans="1:7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</row>
    <row r="441" spans="1:7" x14ac:dyDescent="0.2">
      <c r="A441" s="5" t="s">
        <v>2384</v>
      </c>
      <c r="B441" s="3">
        <v>0</v>
      </c>
      <c r="C441" s="20" t="s">
        <v>3394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</row>
    <row r="442" spans="1:7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</row>
    <row r="443" spans="1:7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</row>
    <row r="444" spans="1:7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</row>
    <row r="445" spans="1:7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</row>
    <row r="446" spans="1:7" x14ac:dyDescent="0.2">
      <c r="A446" s="5" t="s">
        <v>2389</v>
      </c>
      <c r="B446" s="3">
        <v>0</v>
      </c>
      <c r="C446" s="20" t="s">
        <v>3395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</row>
    <row r="447" spans="1:7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</row>
    <row r="448" spans="1:7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</row>
    <row r="449" spans="1:7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</row>
    <row r="450" spans="1:7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1" priority="3" operator="equal">
      <formula>"NOOK"</formula>
    </cfRule>
  </conditionalFormatting>
  <conditionalFormatting sqref="H104:H117">
    <cfRule type="cellIs" dxfId="10" priority="1" operator="equal">
      <formula>"NOOK"</formula>
    </cfRule>
    <cfRule type="cellIs" dxfId="9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0"/>
  <sheetViews>
    <sheetView topLeftCell="A265" zoomScaleNormal="100" workbookViewId="0">
      <selection activeCell="F277" sqref="F277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3402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3240</v>
      </c>
      <c r="H1" s="18" t="s">
        <v>3241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3242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3243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3244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3245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3246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3247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3248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3249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3250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3243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3244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3245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3246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3247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3248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3249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3251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3243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3244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3245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3246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3247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3248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3249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3252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3243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3244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3245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3246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3247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3248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3249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3253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3243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3244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3245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3246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3247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3248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3249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3254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3255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3256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3257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3258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3259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3260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3261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3262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3263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3264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3265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3266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3267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3268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3269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3270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3271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3272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3273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3274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3275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3276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3277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3273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3274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3275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3276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3278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3279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3280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3281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3282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3283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3284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3285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3286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3287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3288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3289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3290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3291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3292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3293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3294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3295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3296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3297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3298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3299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3300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3301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3302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3303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3304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3305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3306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3307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3308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3309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3310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3311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3312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3313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3314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3315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3316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3317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3318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3319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3320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3321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3322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3323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3324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3325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3326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3327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3328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3329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3330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3331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3332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3333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3334</v>
      </c>
      <c r="E260" s="32">
        <v>0</v>
      </c>
      <c r="F260" s="6">
        <f>C261+C262+C263+C264+C265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3335</v>
      </c>
      <c r="E261" s="34" t="s">
        <v>2203</v>
      </c>
      <c r="F261" s="6">
        <f t="shared" ref="F261:F322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3336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3337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3338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3339</v>
      </c>
      <c r="E265" s="34" t="s">
        <v>2203</v>
      </c>
      <c r="F265" s="6">
        <f>C266+C267+C268+C269+C270+C271</f>
        <v>0</v>
      </c>
      <c r="G265" s="6">
        <f t="shared" ref="G265:G327" si="13">F265-C265</f>
        <v>0</v>
      </c>
      <c r="H265" s="4" t="str">
        <f t="shared" ref="H265:H327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3340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3341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3342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3343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3344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20" t="s">
        <v>3345</v>
      </c>
      <c r="E272" s="32">
        <v>0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3" t="s">
        <v>3346</v>
      </c>
      <c r="E273" s="34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3" t="s">
        <v>3347</v>
      </c>
      <c r="E274" s="34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3" t="s">
        <v>3348</v>
      </c>
      <c r="E275" s="34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3" t="s">
        <v>2437</v>
      </c>
      <c r="E276" s="34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3349</v>
      </c>
      <c r="E277" s="32">
        <v>0</v>
      </c>
      <c r="F277" s="6">
        <f>C278+C279+C280+C281+C282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3350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3351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3352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3353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3354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3355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3344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3356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2231</v>
      </c>
      <c r="C288" s="3">
        <v>0</v>
      </c>
      <c r="D288" s="20" t="s">
        <v>3357</v>
      </c>
      <c r="E288" s="32" t="s">
        <v>2231</v>
      </c>
      <c r="F288" s="6">
        <f t="shared" si="12"/>
        <v>0</v>
      </c>
      <c r="G288" s="6">
        <f t="shared" si="13"/>
        <v>0</v>
      </c>
      <c r="H288" s="4" t="str">
        <f t="shared" si="14"/>
        <v>OK</v>
      </c>
    </row>
    <row r="289" spans="1:8" x14ac:dyDescent="0.2">
      <c r="A289" s="19">
        <v>0</v>
      </c>
      <c r="B289" s="5" t="s">
        <v>2232</v>
      </c>
      <c r="C289" s="3">
        <v>0</v>
      </c>
      <c r="D289" s="20" t="s">
        <v>3358</v>
      </c>
      <c r="E289" s="32">
        <v>0</v>
      </c>
      <c r="F289" s="6">
        <f>C290+C298</f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2233</v>
      </c>
      <c r="C290" s="3">
        <v>0</v>
      </c>
      <c r="D290" s="33" t="s">
        <v>3359</v>
      </c>
      <c r="E290" s="34" t="s">
        <v>2232</v>
      </c>
      <c r="F290" s="6">
        <f>C291+C292+C293+C294+C295+C296+C297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2234</v>
      </c>
      <c r="C291" s="3">
        <v>0</v>
      </c>
      <c r="D291" s="35" t="s">
        <v>3360</v>
      </c>
      <c r="E291" s="36" t="s">
        <v>2233</v>
      </c>
      <c r="F291" s="6">
        <f t="shared" si="12"/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2235</v>
      </c>
      <c r="C292" s="3">
        <v>0</v>
      </c>
      <c r="D292" s="35" t="s">
        <v>3361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2236</v>
      </c>
      <c r="C293" s="3">
        <v>0</v>
      </c>
      <c r="D293" s="35" t="s">
        <v>3362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2237</v>
      </c>
      <c r="C294" s="3">
        <v>0</v>
      </c>
      <c r="D294" s="35" t="s">
        <v>3363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2238</v>
      </c>
      <c r="C295" s="3">
        <v>0</v>
      </c>
      <c r="D295" s="35" t="s">
        <v>3364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2239</v>
      </c>
      <c r="C296" s="3">
        <v>0</v>
      </c>
      <c r="D296" s="35" t="s">
        <v>3365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2240</v>
      </c>
      <c r="C297" s="3">
        <v>0</v>
      </c>
      <c r="D297" s="35" t="s">
        <v>3366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2241</v>
      </c>
      <c r="C298" s="3">
        <v>0</v>
      </c>
      <c r="D298" s="33" t="s">
        <v>3367</v>
      </c>
      <c r="E298" s="34" t="s">
        <v>2232</v>
      </c>
      <c r="F298" s="6">
        <f>C299+C300+C301+C302+C303+C304+C305</f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2242</v>
      </c>
      <c r="C299" s="3">
        <v>0</v>
      </c>
      <c r="D299" s="35" t="s">
        <v>3360</v>
      </c>
      <c r="E299" s="36" t="s">
        <v>2241</v>
      </c>
      <c r="F299" s="6">
        <f t="shared" si="12"/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2243</v>
      </c>
      <c r="C300" s="3">
        <v>0</v>
      </c>
      <c r="D300" s="35" t="s">
        <v>3361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2244</v>
      </c>
      <c r="C301" s="3">
        <v>0</v>
      </c>
      <c r="D301" s="35" t="s">
        <v>3362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2245</v>
      </c>
      <c r="C302" s="3">
        <v>0</v>
      </c>
      <c r="D302" s="35" t="s">
        <v>3363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2246</v>
      </c>
      <c r="C303" s="3">
        <v>0</v>
      </c>
      <c r="D303" s="35" t="s">
        <v>3364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2247</v>
      </c>
      <c r="C304" s="3">
        <v>0</v>
      </c>
      <c r="D304" s="35" t="s">
        <v>3365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2248</v>
      </c>
      <c r="C305" s="3">
        <v>0</v>
      </c>
      <c r="D305" s="35" t="s">
        <v>3366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2249</v>
      </c>
      <c r="C306" s="3">
        <v>0</v>
      </c>
      <c r="D306" s="20" t="s">
        <v>3368</v>
      </c>
      <c r="E306" s="32">
        <v>0</v>
      </c>
      <c r="F306" s="6">
        <f>C307+C308</f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2250</v>
      </c>
      <c r="C307" s="3">
        <v>0</v>
      </c>
      <c r="D307" s="33" t="s">
        <v>2460</v>
      </c>
      <c r="E307" s="34" t="s">
        <v>2249</v>
      </c>
      <c r="F307" s="6">
        <f t="shared" si="12"/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2251</v>
      </c>
      <c r="C308" s="3">
        <v>0</v>
      </c>
      <c r="D308" s="33" t="s">
        <v>2461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2252</v>
      </c>
      <c r="C309" s="3">
        <v>0</v>
      </c>
      <c r="D309" s="20" t="s">
        <v>3369</v>
      </c>
      <c r="E309" s="32">
        <v>0</v>
      </c>
      <c r="F309" s="6">
        <f>C310+C311</f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2253</v>
      </c>
      <c r="C310" s="3">
        <v>0</v>
      </c>
      <c r="D310" s="33" t="s">
        <v>2460</v>
      </c>
      <c r="E310" s="34" t="s">
        <v>2252</v>
      </c>
      <c r="F310" s="6">
        <f t="shared" si="12"/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2254</v>
      </c>
      <c r="C311" s="3">
        <v>0</v>
      </c>
      <c r="D311" s="33" t="s">
        <v>2461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2255</v>
      </c>
      <c r="C312" s="3">
        <v>0</v>
      </c>
      <c r="D312" s="20" t="s">
        <v>3370</v>
      </c>
      <c r="E312" s="32">
        <v>0</v>
      </c>
      <c r="F312" s="6">
        <f>C313+C314</f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2256</v>
      </c>
      <c r="C313" s="3">
        <v>0</v>
      </c>
      <c r="D313" s="33" t="s">
        <v>2460</v>
      </c>
      <c r="E313" s="34" t="s">
        <v>2255</v>
      </c>
      <c r="F313" s="6">
        <f t="shared" si="12"/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2257</v>
      </c>
      <c r="C314" s="3">
        <v>0</v>
      </c>
      <c r="D314" s="33" t="s">
        <v>2461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2258</v>
      </c>
      <c r="C315" s="3">
        <v>0</v>
      </c>
      <c r="D315" s="20" t="s">
        <v>3371</v>
      </c>
      <c r="E315" s="32">
        <v>0</v>
      </c>
      <c r="F315" s="6">
        <f>C316+C317+C318</f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2259</v>
      </c>
      <c r="C316" s="3">
        <v>0</v>
      </c>
      <c r="D316" s="33" t="s">
        <v>2461</v>
      </c>
      <c r="E316" s="34" t="s">
        <v>2258</v>
      </c>
      <c r="F316" s="6">
        <f t="shared" si="12"/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2260</v>
      </c>
      <c r="C317" s="3">
        <v>0</v>
      </c>
      <c r="D317" s="33" t="s">
        <v>2462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2261</v>
      </c>
      <c r="C318" s="3">
        <v>0</v>
      </c>
      <c r="D318" s="33" t="s">
        <v>2463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2262</v>
      </c>
      <c r="C319" s="3">
        <v>0</v>
      </c>
      <c r="D319" s="20" t="s">
        <v>3372</v>
      </c>
      <c r="E319" s="32">
        <v>0</v>
      </c>
      <c r="F319" s="6">
        <f>C320+C321+C322</f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2263</v>
      </c>
      <c r="C320" s="3">
        <v>0</v>
      </c>
      <c r="D320" s="33" t="s">
        <v>2461</v>
      </c>
      <c r="E320" s="34" t="s">
        <v>2262</v>
      </c>
      <c r="F320" s="6">
        <f t="shared" si="12"/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2264</v>
      </c>
      <c r="C321" s="3">
        <v>0</v>
      </c>
      <c r="D321" s="33" t="s">
        <v>2462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2265</v>
      </c>
      <c r="C322" s="3">
        <v>0</v>
      </c>
      <c r="D322" s="33" t="s">
        <v>2463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2266</v>
      </c>
      <c r="C323" s="3">
        <v>0</v>
      </c>
      <c r="D323" s="20" t="s">
        <v>3373</v>
      </c>
      <c r="E323" s="32">
        <v>0</v>
      </c>
      <c r="F323" s="6">
        <f>C324+C325+C326+C327+C328+C329+C330+C331</f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2267</v>
      </c>
      <c r="C324" s="3">
        <v>0</v>
      </c>
      <c r="D324" s="33" t="s">
        <v>2770</v>
      </c>
      <c r="E324" s="34" t="s">
        <v>2266</v>
      </c>
      <c r="F324" s="6">
        <f t="shared" ref="F324:F387" si="15">C324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2268</v>
      </c>
      <c r="C325" s="3">
        <v>0</v>
      </c>
      <c r="D325" s="33" t="s">
        <v>2771</v>
      </c>
      <c r="E325" s="34" t="s">
        <v>2266</v>
      </c>
      <c r="F325" s="6">
        <f t="shared" si="15"/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2269</v>
      </c>
      <c r="C326" s="3">
        <v>0</v>
      </c>
      <c r="D326" s="33" t="s">
        <v>2783</v>
      </c>
      <c r="E326" s="34" t="s">
        <v>2266</v>
      </c>
      <c r="F326" s="6">
        <f t="shared" si="15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2270</v>
      </c>
      <c r="C327" s="3">
        <v>0</v>
      </c>
      <c r="D327" s="33" t="s">
        <v>2772</v>
      </c>
      <c r="E327" s="34" t="s">
        <v>2266</v>
      </c>
      <c r="F327" s="6">
        <f t="shared" si="15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2271</v>
      </c>
      <c r="C328" s="3">
        <v>0</v>
      </c>
      <c r="D328" s="33" t="s">
        <v>3374</v>
      </c>
      <c r="E328" s="34" t="s">
        <v>2266</v>
      </c>
      <c r="F328" s="6">
        <f t="shared" si="15"/>
        <v>0</v>
      </c>
      <c r="G328" s="6">
        <f t="shared" ref="G328:G391" si="16">F328-C328</f>
        <v>0</v>
      </c>
      <c r="H328" s="4" t="str">
        <f t="shared" ref="H328:H391" si="17">IF(G328&lt;&gt;0,"NOOK","OK")</f>
        <v>OK</v>
      </c>
    </row>
    <row r="329" spans="1:8" x14ac:dyDescent="0.2">
      <c r="A329" s="19">
        <v>0</v>
      </c>
      <c r="B329" s="5" t="s">
        <v>2272</v>
      </c>
      <c r="C329" s="3">
        <v>0</v>
      </c>
      <c r="D329" s="33" t="s">
        <v>3375</v>
      </c>
      <c r="E329" s="34" t="s">
        <v>2266</v>
      </c>
      <c r="F329" s="6">
        <f t="shared" si="15"/>
        <v>0</v>
      </c>
      <c r="G329" s="6">
        <f t="shared" si="16"/>
        <v>0</v>
      </c>
      <c r="H329" s="4" t="str">
        <f t="shared" si="17"/>
        <v>OK</v>
      </c>
    </row>
    <row r="330" spans="1:8" x14ac:dyDescent="0.2">
      <c r="A330" s="19">
        <v>0</v>
      </c>
      <c r="B330" s="5" t="s">
        <v>2273</v>
      </c>
      <c r="C330" s="3">
        <v>0</v>
      </c>
      <c r="D330" s="33" t="s">
        <v>2781</v>
      </c>
      <c r="E330" s="34" t="s">
        <v>2266</v>
      </c>
      <c r="F330" s="6">
        <f t="shared" si="15"/>
        <v>0</v>
      </c>
      <c r="G330" s="6">
        <f t="shared" si="16"/>
        <v>0</v>
      </c>
      <c r="H330" s="4" t="str">
        <f t="shared" si="17"/>
        <v>OK</v>
      </c>
    </row>
    <row r="331" spans="1:8" x14ac:dyDescent="0.2">
      <c r="A331" s="19">
        <v>0</v>
      </c>
      <c r="B331" s="5" t="s">
        <v>2274</v>
      </c>
      <c r="C331" s="3">
        <v>0</v>
      </c>
      <c r="D331" s="33" t="s">
        <v>2784</v>
      </c>
      <c r="E331" s="34" t="s">
        <v>2266</v>
      </c>
      <c r="F331" s="6">
        <f t="shared" si="15"/>
        <v>0</v>
      </c>
      <c r="G331" s="6">
        <f t="shared" si="16"/>
        <v>0</v>
      </c>
      <c r="H331" s="4" t="str">
        <f t="shared" si="17"/>
        <v>OK</v>
      </c>
    </row>
    <row r="332" spans="1:8" x14ac:dyDescent="0.2">
      <c r="A332" s="19">
        <v>0</v>
      </c>
      <c r="B332" s="5" t="s">
        <v>2275</v>
      </c>
      <c r="C332" s="3">
        <v>0</v>
      </c>
      <c r="D332" s="20" t="s">
        <v>3376</v>
      </c>
      <c r="E332" s="32">
        <v>0</v>
      </c>
      <c r="F332" s="6">
        <f>C333+C334+C335+C336+C337+C338+C339+C340</f>
        <v>0</v>
      </c>
      <c r="G332" s="6">
        <f t="shared" si="16"/>
        <v>0</v>
      </c>
      <c r="H332" s="4" t="str">
        <f t="shared" si="17"/>
        <v>OK</v>
      </c>
    </row>
    <row r="333" spans="1:8" x14ac:dyDescent="0.2">
      <c r="A333" s="19">
        <v>0</v>
      </c>
      <c r="B333" s="5" t="s">
        <v>2276</v>
      </c>
      <c r="C333" s="3">
        <v>0</v>
      </c>
      <c r="D333" s="33" t="s">
        <v>2770</v>
      </c>
      <c r="E333" s="34" t="s">
        <v>2275</v>
      </c>
      <c r="F333" s="6">
        <f t="shared" si="15"/>
        <v>0</v>
      </c>
      <c r="G333" s="6">
        <f t="shared" si="16"/>
        <v>0</v>
      </c>
      <c r="H333" s="4" t="str">
        <f t="shared" si="17"/>
        <v>OK</v>
      </c>
    </row>
    <row r="334" spans="1:8" x14ac:dyDescent="0.2">
      <c r="A334" s="19">
        <v>0</v>
      </c>
      <c r="B334" s="5" t="s">
        <v>2277</v>
      </c>
      <c r="C334" s="3">
        <v>0</v>
      </c>
      <c r="D334" s="33" t="s">
        <v>2771</v>
      </c>
      <c r="E334" s="34" t="s">
        <v>2275</v>
      </c>
      <c r="F334" s="6">
        <f t="shared" si="15"/>
        <v>0</v>
      </c>
      <c r="G334" s="6">
        <f t="shared" si="16"/>
        <v>0</v>
      </c>
      <c r="H334" s="4" t="str">
        <f t="shared" si="17"/>
        <v>OK</v>
      </c>
    </row>
    <row r="335" spans="1:8" x14ac:dyDescent="0.2">
      <c r="A335" s="19">
        <v>0</v>
      </c>
      <c r="B335" s="5" t="s">
        <v>2278</v>
      </c>
      <c r="C335" s="3">
        <v>0</v>
      </c>
      <c r="D335" s="33" t="s">
        <v>2783</v>
      </c>
      <c r="E335" s="34" t="s">
        <v>2275</v>
      </c>
      <c r="F335" s="6">
        <f t="shared" si="15"/>
        <v>0</v>
      </c>
      <c r="G335" s="6">
        <f t="shared" si="16"/>
        <v>0</v>
      </c>
      <c r="H335" s="4" t="str">
        <f t="shared" si="17"/>
        <v>OK</v>
      </c>
    </row>
    <row r="336" spans="1:8" x14ac:dyDescent="0.2">
      <c r="A336" s="19">
        <v>0</v>
      </c>
      <c r="B336" s="5" t="s">
        <v>2279</v>
      </c>
      <c r="C336" s="3">
        <v>0</v>
      </c>
      <c r="D336" s="33" t="s">
        <v>2772</v>
      </c>
      <c r="E336" s="34" t="s">
        <v>2275</v>
      </c>
      <c r="F336" s="6">
        <f t="shared" si="15"/>
        <v>0</v>
      </c>
      <c r="G336" s="6">
        <f t="shared" si="16"/>
        <v>0</v>
      </c>
      <c r="H336" s="4" t="str">
        <f t="shared" si="17"/>
        <v>OK</v>
      </c>
    </row>
    <row r="337" spans="1:8" x14ac:dyDescent="0.2">
      <c r="A337" s="19">
        <v>0</v>
      </c>
      <c r="B337" s="5" t="s">
        <v>2280</v>
      </c>
      <c r="C337" s="3">
        <v>0</v>
      </c>
      <c r="D337" s="33" t="s">
        <v>3374</v>
      </c>
      <c r="E337" s="34" t="s">
        <v>2275</v>
      </c>
      <c r="F337" s="6">
        <f t="shared" si="15"/>
        <v>0</v>
      </c>
      <c r="G337" s="6">
        <f t="shared" si="16"/>
        <v>0</v>
      </c>
      <c r="H337" s="4" t="str">
        <f t="shared" si="17"/>
        <v>OK</v>
      </c>
    </row>
    <row r="338" spans="1:8" x14ac:dyDescent="0.2">
      <c r="A338" s="19">
        <v>0</v>
      </c>
      <c r="B338" s="5" t="s">
        <v>2281</v>
      </c>
      <c r="C338" s="3">
        <v>0</v>
      </c>
      <c r="D338" s="33" t="s">
        <v>3375</v>
      </c>
      <c r="E338" s="34" t="s">
        <v>2275</v>
      </c>
      <c r="F338" s="6">
        <f t="shared" si="15"/>
        <v>0</v>
      </c>
      <c r="G338" s="6">
        <f t="shared" si="16"/>
        <v>0</v>
      </c>
      <c r="H338" s="4" t="str">
        <f t="shared" si="17"/>
        <v>OK</v>
      </c>
    </row>
    <row r="339" spans="1:8" x14ac:dyDescent="0.2">
      <c r="A339" s="19">
        <v>0</v>
      </c>
      <c r="B339" s="5" t="s">
        <v>2282</v>
      </c>
      <c r="C339" s="3">
        <v>0</v>
      </c>
      <c r="D339" s="33" t="s">
        <v>2781</v>
      </c>
      <c r="E339" s="34" t="s">
        <v>2275</v>
      </c>
      <c r="F339" s="6">
        <f t="shared" si="15"/>
        <v>0</v>
      </c>
      <c r="G339" s="6">
        <f t="shared" si="16"/>
        <v>0</v>
      </c>
      <c r="H339" s="4" t="str">
        <f t="shared" si="17"/>
        <v>OK</v>
      </c>
    </row>
    <row r="340" spans="1:8" x14ac:dyDescent="0.2">
      <c r="A340" s="19">
        <v>0</v>
      </c>
      <c r="B340" s="5" t="s">
        <v>2283</v>
      </c>
      <c r="C340" s="3">
        <v>0</v>
      </c>
      <c r="D340" s="33" t="s">
        <v>2784</v>
      </c>
      <c r="E340" s="34" t="s">
        <v>2275</v>
      </c>
      <c r="F340" s="6">
        <f t="shared" si="15"/>
        <v>0</v>
      </c>
      <c r="G340" s="6">
        <f t="shared" si="16"/>
        <v>0</v>
      </c>
      <c r="H340" s="4" t="str">
        <f t="shared" si="17"/>
        <v>OK</v>
      </c>
    </row>
    <row r="341" spans="1:8" x14ac:dyDescent="0.2">
      <c r="A341" s="19">
        <v>0</v>
      </c>
      <c r="B341" s="5" t="s">
        <v>2284</v>
      </c>
      <c r="C341" s="3">
        <v>0</v>
      </c>
      <c r="D341" s="20" t="s">
        <v>3377</v>
      </c>
      <c r="E341" s="32">
        <v>0</v>
      </c>
      <c r="F341" s="6">
        <f>C342+C343+C344+C345+C346+C347+C348+C349</f>
        <v>0</v>
      </c>
      <c r="G341" s="6">
        <f t="shared" si="16"/>
        <v>0</v>
      </c>
      <c r="H341" s="4" t="str">
        <f t="shared" si="17"/>
        <v>OK</v>
      </c>
    </row>
    <row r="342" spans="1:8" x14ac:dyDescent="0.2">
      <c r="A342" s="19">
        <v>0</v>
      </c>
      <c r="B342" s="5" t="s">
        <v>2285</v>
      </c>
      <c r="C342" s="3">
        <v>0</v>
      </c>
      <c r="D342" s="33" t="s">
        <v>2770</v>
      </c>
      <c r="E342" s="34" t="s">
        <v>2284</v>
      </c>
      <c r="F342" s="6">
        <f t="shared" si="15"/>
        <v>0</v>
      </c>
      <c r="G342" s="6">
        <f t="shared" si="16"/>
        <v>0</v>
      </c>
      <c r="H342" s="4" t="str">
        <f t="shared" si="17"/>
        <v>OK</v>
      </c>
    </row>
    <row r="343" spans="1:8" x14ac:dyDescent="0.2">
      <c r="A343" s="19">
        <v>0</v>
      </c>
      <c r="B343" s="5" t="s">
        <v>2286</v>
      </c>
      <c r="C343" s="3">
        <v>0</v>
      </c>
      <c r="D343" s="33" t="s">
        <v>2771</v>
      </c>
      <c r="E343" s="34" t="s">
        <v>2284</v>
      </c>
      <c r="F343" s="6">
        <f t="shared" si="15"/>
        <v>0</v>
      </c>
      <c r="G343" s="6">
        <f t="shared" si="16"/>
        <v>0</v>
      </c>
      <c r="H343" s="4" t="str">
        <f t="shared" si="17"/>
        <v>OK</v>
      </c>
    </row>
    <row r="344" spans="1:8" x14ac:dyDescent="0.2">
      <c r="A344" s="19">
        <v>0</v>
      </c>
      <c r="B344" s="5" t="s">
        <v>2287</v>
      </c>
      <c r="C344" s="3">
        <v>0</v>
      </c>
      <c r="D344" s="33" t="s">
        <v>2783</v>
      </c>
      <c r="E344" s="34" t="s">
        <v>2284</v>
      </c>
      <c r="F344" s="6">
        <f t="shared" si="15"/>
        <v>0</v>
      </c>
      <c r="G344" s="6">
        <f t="shared" si="16"/>
        <v>0</v>
      </c>
      <c r="H344" s="4" t="str">
        <f t="shared" si="17"/>
        <v>OK</v>
      </c>
    </row>
    <row r="345" spans="1:8" x14ac:dyDescent="0.2">
      <c r="A345" s="19">
        <v>0</v>
      </c>
      <c r="B345" s="5" t="s">
        <v>2288</v>
      </c>
      <c r="C345" s="3">
        <v>0</v>
      </c>
      <c r="D345" s="33" t="s">
        <v>2772</v>
      </c>
      <c r="E345" s="34" t="s">
        <v>2284</v>
      </c>
      <c r="F345" s="6">
        <f t="shared" si="15"/>
        <v>0</v>
      </c>
      <c r="G345" s="6">
        <f t="shared" si="16"/>
        <v>0</v>
      </c>
      <c r="H345" s="4" t="str">
        <f t="shared" si="17"/>
        <v>OK</v>
      </c>
    </row>
    <row r="346" spans="1:8" x14ac:dyDescent="0.2">
      <c r="A346" s="19">
        <v>0</v>
      </c>
      <c r="B346" s="5" t="s">
        <v>2289</v>
      </c>
      <c r="C346" s="3">
        <v>0</v>
      </c>
      <c r="D346" s="33" t="s">
        <v>3374</v>
      </c>
      <c r="E346" s="34" t="s">
        <v>2284</v>
      </c>
      <c r="F346" s="6">
        <f t="shared" si="15"/>
        <v>0</v>
      </c>
      <c r="G346" s="6">
        <f t="shared" si="16"/>
        <v>0</v>
      </c>
      <c r="H346" s="4" t="str">
        <f t="shared" si="17"/>
        <v>OK</v>
      </c>
    </row>
    <row r="347" spans="1:8" x14ac:dyDescent="0.2">
      <c r="A347" s="19">
        <v>0</v>
      </c>
      <c r="B347" s="5" t="s">
        <v>2290</v>
      </c>
      <c r="C347" s="3">
        <v>0</v>
      </c>
      <c r="D347" s="33" t="s">
        <v>3375</v>
      </c>
      <c r="E347" s="34" t="s">
        <v>2284</v>
      </c>
      <c r="F347" s="6">
        <f t="shared" si="15"/>
        <v>0</v>
      </c>
      <c r="G347" s="6">
        <f t="shared" si="16"/>
        <v>0</v>
      </c>
      <c r="H347" s="4" t="str">
        <f t="shared" si="17"/>
        <v>OK</v>
      </c>
    </row>
    <row r="348" spans="1:8" x14ac:dyDescent="0.2">
      <c r="A348" s="19">
        <v>0</v>
      </c>
      <c r="B348" s="5" t="s">
        <v>2291</v>
      </c>
      <c r="C348" s="3">
        <v>0</v>
      </c>
      <c r="D348" s="33" t="s">
        <v>2781</v>
      </c>
      <c r="E348" s="34" t="s">
        <v>2284</v>
      </c>
      <c r="F348" s="6">
        <f t="shared" si="15"/>
        <v>0</v>
      </c>
      <c r="G348" s="6">
        <f t="shared" si="16"/>
        <v>0</v>
      </c>
      <c r="H348" s="4" t="str">
        <f t="shared" si="17"/>
        <v>OK</v>
      </c>
    </row>
    <row r="349" spans="1:8" x14ac:dyDescent="0.2">
      <c r="A349" s="19">
        <v>0</v>
      </c>
      <c r="B349" s="5" t="s">
        <v>2292</v>
      </c>
      <c r="C349" s="3">
        <v>0</v>
      </c>
      <c r="D349" s="33" t="s">
        <v>2784</v>
      </c>
      <c r="E349" s="34" t="s">
        <v>2284</v>
      </c>
      <c r="F349" s="6">
        <f t="shared" si="15"/>
        <v>0</v>
      </c>
      <c r="G349" s="6">
        <f t="shared" si="16"/>
        <v>0</v>
      </c>
      <c r="H349" s="4" t="str">
        <f t="shared" si="17"/>
        <v>OK</v>
      </c>
    </row>
    <row r="350" spans="1:8" x14ac:dyDescent="0.2">
      <c r="A350" s="19">
        <v>0</v>
      </c>
      <c r="B350" s="5" t="s">
        <v>2293</v>
      </c>
      <c r="C350" s="3">
        <v>0</v>
      </c>
      <c r="D350" s="20" t="s">
        <v>3378</v>
      </c>
      <c r="E350" s="32">
        <v>0</v>
      </c>
      <c r="F350" s="6">
        <f>C351+C352+C353+C354+C355+C356+C357+C358+C359</f>
        <v>0</v>
      </c>
      <c r="G350" s="6">
        <f t="shared" si="16"/>
        <v>0</v>
      </c>
      <c r="H350" s="4" t="str">
        <f t="shared" si="17"/>
        <v>OK</v>
      </c>
    </row>
    <row r="351" spans="1:8" x14ac:dyDescent="0.2">
      <c r="A351" s="19">
        <v>0</v>
      </c>
      <c r="B351" s="5" t="s">
        <v>2294</v>
      </c>
      <c r="C351" s="3">
        <v>0</v>
      </c>
      <c r="D351" s="33" t="s">
        <v>2770</v>
      </c>
      <c r="E351" s="34" t="s">
        <v>2293</v>
      </c>
      <c r="F351" s="6">
        <f t="shared" si="15"/>
        <v>0</v>
      </c>
      <c r="G351" s="6">
        <f t="shared" si="16"/>
        <v>0</v>
      </c>
      <c r="H351" s="4" t="str">
        <f t="shared" si="17"/>
        <v>OK</v>
      </c>
    </row>
    <row r="352" spans="1:8" x14ac:dyDescent="0.2">
      <c r="A352" s="19">
        <v>0</v>
      </c>
      <c r="B352" s="5" t="s">
        <v>2295</v>
      </c>
      <c r="C352" s="3">
        <v>0</v>
      </c>
      <c r="D352" s="33" t="s">
        <v>2771</v>
      </c>
      <c r="E352" s="34" t="s">
        <v>2293</v>
      </c>
      <c r="F352" s="6">
        <f t="shared" si="15"/>
        <v>0</v>
      </c>
      <c r="G352" s="6">
        <f t="shared" si="16"/>
        <v>0</v>
      </c>
      <c r="H352" s="4" t="str">
        <f t="shared" si="17"/>
        <v>OK</v>
      </c>
    </row>
    <row r="353" spans="1:8" x14ac:dyDescent="0.2">
      <c r="A353" s="19">
        <v>0</v>
      </c>
      <c r="B353" s="5" t="s">
        <v>2296</v>
      </c>
      <c r="C353" s="3">
        <v>0</v>
      </c>
      <c r="D353" s="33" t="s">
        <v>2783</v>
      </c>
      <c r="E353" s="34" t="s">
        <v>2293</v>
      </c>
      <c r="F353" s="6">
        <f t="shared" si="15"/>
        <v>0</v>
      </c>
      <c r="G353" s="6">
        <f t="shared" si="16"/>
        <v>0</v>
      </c>
      <c r="H353" s="4" t="str">
        <f t="shared" si="17"/>
        <v>OK</v>
      </c>
    </row>
    <row r="354" spans="1:8" x14ac:dyDescent="0.2">
      <c r="A354" s="19">
        <v>0</v>
      </c>
      <c r="B354" s="5" t="s">
        <v>2297</v>
      </c>
      <c r="C354" s="3">
        <v>0</v>
      </c>
      <c r="D354" s="33" t="s">
        <v>2772</v>
      </c>
      <c r="E354" s="34" t="s">
        <v>2293</v>
      </c>
      <c r="F354" s="6">
        <f t="shared" si="15"/>
        <v>0</v>
      </c>
      <c r="G354" s="6">
        <f t="shared" si="16"/>
        <v>0</v>
      </c>
      <c r="H354" s="4" t="str">
        <f t="shared" si="17"/>
        <v>OK</v>
      </c>
    </row>
    <row r="355" spans="1:8" x14ac:dyDescent="0.2">
      <c r="A355" s="19">
        <v>0</v>
      </c>
      <c r="B355" s="5" t="s">
        <v>2298</v>
      </c>
      <c r="C355" s="3">
        <v>0</v>
      </c>
      <c r="D355" s="33" t="s">
        <v>3374</v>
      </c>
      <c r="E355" s="34" t="s">
        <v>2293</v>
      </c>
      <c r="F355" s="6">
        <f t="shared" si="15"/>
        <v>0</v>
      </c>
      <c r="G355" s="6">
        <f t="shared" si="16"/>
        <v>0</v>
      </c>
      <c r="H355" s="4" t="str">
        <f t="shared" si="17"/>
        <v>OK</v>
      </c>
    </row>
    <row r="356" spans="1:8" x14ac:dyDescent="0.2">
      <c r="A356" s="19">
        <v>0</v>
      </c>
      <c r="B356" s="5" t="s">
        <v>2299</v>
      </c>
      <c r="C356" s="3">
        <v>0</v>
      </c>
      <c r="D356" s="33" t="s">
        <v>3375</v>
      </c>
      <c r="E356" s="34" t="s">
        <v>2293</v>
      </c>
      <c r="F356" s="6">
        <f t="shared" si="15"/>
        <v>0</v>
      </c>
      <c r="G356" s="6">
        <f t="shared" si="16"/>
        <v>0</v>
      </c>
      <c r="H356" s="4" t="str">
        <f t="shared" si="17"/>
        <v>OK</v>
      </c>
    </row>
    <row r="357" spans="1:8" x14ac:dyDescent="0.2">
      <c r="A357" s="19">
        <v>0</v>
      </c>
      <c r="B357" s="5" t="s">
        <v>2300</v>
      </c>
      <c r="C357" s="3">
        <v>0</v>
      </c>
      <c r="D357" s="33" t="s">
        <v>3379</v>
      </c>
      <c r="E357" s="34" t="s">
        <v>2293</v>
      </c>
      <c r="F357" s="6">
        <f t="shared" si="15"/>
        <v>0</v>
      </c>
      <c r="G357" s="6">
        <f t="shared" si="16"/>
        <v>0</v>
      </c>
      <c r="H357" s="4" t="str">
        <f t="shared" si="17"/>
        <v>OK</v>
      </c>
    </row>
    <row r="358" spans="1:8" x14ac:dyDescent="0.2">
      <c r="A358" s="19">
        <v>0</v>
      </c>
      <c r="B358" s="5" t="s">
        <v>2301</v>
      </c>
      <c r="C358" s="3">
        <v>0</v>
      </c>
      <c r="D358" s="33" t="s">
        <v>2781</v>
      </c>
      <c r="E358" s="34" t="s">
        <v>2293</v>
      </c>
      <c r="F358" s="6">
        <f t="shared" si="15"/>
        <v>0</v>
      </c>
      <c r="G358" s="6">
        <f t="shared" si="16"/>
        <v>0</v>
      </c>
      <c r="H358" s="4" t="str">
        <f t="shared" si="17"/>
        <v>OK</v>
      </c>
    </row>
    <row r="359" spans="1:8" x14ac:dyDescent="0.2">
      <c r="A359" s="19">
        <v>0</v>
      </c>
      <c r="B359" s="5" t="s">
        <v>2302</v>
      </c>
      <c r="C359" s="3">
        <v>0</v>
      </c>
      <c r="D359" s="33" t="s">
        <v>2784</v>
      </c>
      <c r="E359" s="34" t="s">
        <v>2293</v>
      </c>
      <c r="F359" s="6">
        <f t="shared" si="15"/>
        <v>0</v>
      </c>
      <c r="G359" s="6">
        <f t="shared" si="16"/>
        <v>0</v>
      </c>
      <c r="H359" s="4" t="str">
        <f t="shared" si="17"/>
        <v>OK</v>
      </c>
    </row>
    <row r="360" spans="1:8" x14ac:dyDescent="0.2">
      <c r="A360" s="19">
        <v>0</v>
      </c>
      <c r="B360" s="5" t="s">
        <v>2303</v>
      </c>
      <c r="C360" s="3">
        <v>0</v>
      </c>
      <c r="D360" s="20" t="s">
        <v>3380</v>
      </c>
      <c r="E360" s="32">
        <v>0</v>
      </c>
      <c r="F360" s="6">
        <f>C361+C362+C363+C364+C365+C366+C367+C368+C369</f>
        <v>0</v>
      </c>
      <c r="G360" s="6">
        <f t="shared" si="16"/>
        <v>0</v>
      </c>
      <c r="H360" s="4" t="str">
        <f t="shared" si="17"/>
        <v>OK</v>
      </c>
    </row>
    <row r="361" spans="1:8" x14ac:dyDescent="0.2">
      <c r="A361" s="19">
        <v>0</v>
      </c>
      <c r="B361" s="5" t="s">
        <v>2304</v>
      </c>
      <c r="C361" s="3">
        <v>0</v>
      </c>
      <c r="D361" s="33" t="s">
        <v>2770</v>
      </c>
      <c r="E361" s="34" t="s">
        <v>2303</v>
      </c>
      <c r="F361" s="6">
        <f t="shared" si="15"/>
        <v>0</v>
      </c>
      <c r="G361" s="6">
        <f t="shared" si="16"/>
        <v>0</v>
      </c>
      <c r="H361" s="4" t="str">
        <f t="shared" si="17"/>
        <v>OK</v>
      </c>
    </row>
    <row r="362" spans="1:8" x14ac:dyDescent="0.2">
      <c r="A362" s="19">
        <v>0</v>
      </c>
      <c r="B362" s="5" t="s">
        <v>2305</v>
      </c>
      <c r="C362" s="3">
        <v>0</v>
      </c>
      <c r="D362" s="33" t="s">
        <v>2771</v>
      </c>
      <c r="E362" s="34" t="s">
        <v>2303</v>
      </c>
      <c r="F362" s="6">
        <f t="shared" si="15"/>
        <v>0</v>
      </c>
      <c r="G362" s="6">
        <f t="shared" si="16"/>
        <v>0</v>
      </c>
      <c r="H362" s="4" t="str">
        <f t="shared" si="17"/>
        <v>OK</v>
      </c>
    </row>
    <row r="363" spans="1:8" x14ac:dyDescent="0.2">
      <c r="A363" s="19">
        <v>0</v>
      </c>
      <c r="B363" s="5" t="s">
        <v>2306</v>
      </c>
      <c r="C363" s="3">
        <v>0</v>
      </c>
      <c r="D363" s="33" t="s">
        <v>2783</v>
      </c>
      <c r="E363" s="34" t="s">
        <v>2303</v>
      </c>
      <c r="F363" s="6">
        <f t="shared" si="15"/>
        <v>0</v>
      </c>
      <c r="G363" s="6">
        <f t="shared" si="16"/>
        <v>0</v>
      </c>
      <c r="H363" s="4" t="str">
        <f t="shared" si="17"/>
        <v>OK</v>
      </c>
    </row>
    <row r="364" spans="1:8" x14ac:dyDescent="0.2">
      <c r="A364" s="19">
        <v>0</v>
      </c>
      <c r="B364" s="5" t="s">
        <v>2307</v>
      </c>
      <c r="C364" s="3">
        <v>0</v>
      </c>
      <c r="D364" s="33" t="s">
        <v>2772</v>
      </c>
      <c r="E364" s="34" t="s">
        <v>2303</v>
      </c>
      <c r="F364" s="6">
        <f t="shared" si="15"/>
        <v>0</v>
      </c>
      <c r="G364" s="6">
        <f t="shared" si="16"/>
        <v>0</v>
      </c>
      <c r="H364" s="4" t="str">
        <f t="shared" si="17"/>
        <v>OK</v>
      </c>
    </row>
    <row r="365" spans="1:8" x14ac:dyDescent="0.2">
      <c r="A365" s="19">
        <v>0</v>
      </c>
      <c r="B365" s="5" t="s">
        <v>2308</v>
      </c>
      <c r="C365" s="3">
        <v>0</v>
      </c>
      <c r="D365" s="33" t="s">
        <v>3374</v>
      </c>
      <c r="E365" s="34" t="s">
        <v>2303</v>
      </c>
      <c r="F365" s="6">
        <f t="shared" si="15"/>
        <v>0</v>
      </c>
      <c r="G365" s="6">
        <f t="shared" si="16"/>
        <v>0</v>
      </c>
      <c r="H365" s="4" t="str">
        <f t="shared" si="17"/>
        <v>OK</v>
      </c>
    </row>
    <row r="366" spans="1:8" x14ac:dyDescent="0.2">
      <c r="A366" s="19">
        <v>0</v>
      </c>
      <c r="B366" s="5" t="s">
        <v>2309</v>
      </c>
      <c r="C366" s="3">
        <v>0</v>
      </c>
      <c r="D366" s="33" t="s">
        <v>3375</v>
      </c>
      <c r="E366" s="34" t="s">
        <v>2303</v>
      </c>
      <c r="F366" s="6">
        <f t="shared" si="15"/>
        <v>0</v>
      </c>
      <c r="G366" s="6">
        <f t="shared" si="16"/>
        <v>0</v>
      </c>
      <c r="H366" s="4" t="str">
        <f t="shared" si="17"/>
        <v>OK</v>
      </c>
    </row>
    <row r="367" spans="1:8" x14ac:dyDescent="0.2">
      <c r="A367" s="19">
        <v>0</v>
      </c>
      <c r="B367" s="5" t="s">
        <v>2310</v>
      </c>
      <c r="C367" s="3">
        <v>0</v>
      </c>
      <c r="D367" s="33" t="s">
        <v>3379</v>
      </c>
      <c r="E367" s="34" t="s">
        <v>2303</v>
      </c>
      <c r="F367" s="6">
        <f t="shared" si="15"/>
        <v>0</v>
      </c>
      <c r="G367" s="6">
        <f t="shared" si="16"/>
        <v>0</v>
      </c>
      <c r="H367" s="4" t="str">
        <f t="shared" si="17"/>
        <v>OK</v>
      </c>
    </row>
    <row r="368" spans="1:8" x14ac:dyDescent="0.2">
      <c r="A368" s="19">
        <v>0</v>
      </c>
      <c r="B368" s="5" t="s">
        <v>2311</v>
      </c>
      <c r="C368" s="3">
        <v>0</v>
      </c>
      <c r="D368" s="33" t="s">
        <v>2781</v>
      </c>
      <c r="E368" s="34" t="s">
        <v>2303</v>
      </c>
      <c r="F368" s="6">
        <f t="shared" si="15"/>
        <v>0</v>
      </c>
      <c r="G368" s="6">
        <f t="shared" si="16"/>
        <v>0</v>
      </c>
      <c r="H368" s="4" t="str">
        <f t="shared" si="17"/>
        <v>OK</v>
      </c>
    </row>
    <row r="369" spans="1:8" x14ac:dyDescent="0.2">
      <c r="A369" s="19">
        <v>0</v>
      </c>
      <c r="B369" s="5" t="s">
        <v>2312</v>
      </c>
      <c r="C369" s="3">
        <v>0</v>
      </c>
      <c r="D369" s="33" t="s">
        <v>2784</v>
      </c>
      <c r="E369" s="34" t="s">
        <v>2303</v>
      </c>
      <c r="F369" s="6">
        <f t="shared" si="15"/>
        <v>0</v>
      </c>
      <c r="G369" s="6">
        <f t="shared" si="16"/>
        <v>0</v>
      </c>
      <c r="H369" s="4" t="str">
        <f t="shared" si="17"/>
        <v>OK</v>
      </c>
    </row>
    <row r="370" spans="1:8" x14ac:dyDescent="0.2">
      <c r="A370" s="19">
        <v>0</v>
      </c>
      <c r="B370" s="5" t="s">
        <v>2313</v>
      </c>
      <c r="C370" s="3">
        <v>0</v>
      </c>
      <c r="D370" s="20" t="s">
        <v>3381</v>
      </c>
      <c r="E370" s="32">
        <v>0</v>
      </c>
      <c r="F370" s="6">
        <f>C371+C372+C373+C374+C375+C376</f>
        <v>0</v>
      </c>
      <c r="G370" s="6">
        <f t="shared" si="16"/>
        <v>0</v>
      </c>
      <c r="H370" s="4" t="str">
        <f t="shared" si="17"/>
        <v>OK</v>
      </c>
    </row>
    <row r="371" spans="1:8" x14ac:dyDescent="0.2">
      <c r="A371" s="19">
        <v>0</v>
      </c>
      <c r="B371" s="5" t="s">
        <v>2314</v>
      </c>
      <c r="C371" s="3">
        <v>0</v>
      </c>
      <c r="D371" s="33" t="s">
        <v>3382</v>
      </c>
      <c r="E371" s="34" t="s">
        <v>2313</v>
      </c>
      <c r="F371" s="6">
        <f t="shared" si="15"/>
        <v>0</v>
      </c>
      <c r="G371" s="6">
        <f t="shared" si="16"/>
        <v>0</v>
      </c>
      <c r="H371" s="4" t="str">
        <f t="shared" si="17"/>
        <v>OK</v>
      </c>
    </row>
    <row r="372" spans="1:8" x14ac:dyDescent="0.2">
      <c r="A372" s="19">
        <v>0</v>
      </c>
      <c r="B372" s="5" t="s">
        <v>2315</v>
      </c>
      <c r="C372" s="3">
        <v>0</v>
      </c>
      <c r="D372" s="33" t="s">
        <v>3383</v>
      </c>
      <c r="E372" s="34" t="s">
        <v>2313</v>
      </c>
      <c r="F372" s="6">
        <f t="shared" si="15"/>
        <v>0</v>
      </c>
      <c r="G372" s="6">
        <f t="shared" si="16"/>
        <v>0</v>
      </c>
      <c r="H372" s="4" t="str">
        <f t="shared" si="17"/>
        <v>OK</v>
      </c>
    </row>
    <row r="373" spans="1:8" x14ac:dyDescent="0.2">
      <c r="A373" s="19">
        <v>0</v>
      </c>
      <c r="B373" s="5" t="s">
        <v>2316</v>
      </c>
      <c r="C373" s="3">
        <v>0</v>
      </c>
      <c r="D373" s="33" t="s">
        <v>3384</v>
      </c>
      <c r="E373" s="34" t="s">
        <v>2313</v>
      </c>
      <c r="F373" s="6">
        <f t="shared" si="15"/>
        <v>0</v>
      </c>
      <c r="G373" s="6">
        <f t="shared" si="16"/>
        <v>0</v>
      </c>
      <c r="H373" s="4" t="str">
        <f t="shared" si="17"/>
        <v>OK</v>
      </c>
    </row>
    <row r="374" spans="1:8" x14ac:dyDescent="0.2">
      <c r="A374" s="19">
        <v>0</v>
      </c>
      <c r="B374" s="5" t="s">
        <v>2317</v>
      </c>
      <c r="C374" s="3">
        <v>0</v>
      </c>
      <c r="D374" s="33" t="s">
        <v>3385</v>
      </c>
      <c r="E374" s="34" t="s">
        <v>2313</v>
      </c>
      <c r="F374" s="6">
        <f t="shared" si="15"/>
        <v>0</v>
      </c>
      <c r="G374" s="6">
        <f t="shared" si="16"/>
        <v>0</v>
      </c>
      <c r="H374" s="4" t="str">
        <f t="shared" si="17"/>
        <v>OK</v>
      </c>
    </row>
    <row r="375" spans="1:8" x14ac:dyDescent="0.2">
      <c r="A375" s="19">
        <v>0</v>
      </c>
      <c r="B375" s="5" t="s">
        <v>2318</v>
      </c>
      <c r="C375" s="3">
        <v>0</v>
      </c>
      <c r="D375" s="33" t="s">
        <v>3386</v>
      </c>
      <c r="E375" s="34" t="s">
        <v>2313</v>
      </c>
      <c r="F375" s="6">
        <f t="shared" si="15"/>
        <v>0</v>
      </c>
      <c r="G375" s="6">
        <f t="shared" si="16"/>
        <v>0</v>
      </c>
      <c r="H375" s="4" t="str">
        <f t="shared" si="17"/>
        <v>OK</v>
      </c>
    </row>
    <row r="376" spans="1:8" x14ac:dyDescent="0.2">
      <c r="A376" s="19">
        <v>0</v>
      </c>
      <c r="B376" s="5" t="s">
        <v>2319</v>
      </c>
      <c r="C376" s="3">
        <v>0</v>
      </c>
      <c r="D376" s="33" t="s">
        <v>3387</v>
      </c>
      <c r="E376" s="34" t="s">
        <v>2313</v>
      </c>
      <c r="F376" s="6">
        <f t="shared" si="15"/>
        <v>0</v>
      </c>
      <c r="G376" s="6">
        <f t="shared" si="16"/>
        <v>0</v>
      </c>
      <c r="H376" s="4" t="str">
        <f t="shared" si="17"/>
        <v>OK</v>
      </c>
    </row>
    <row r="377" spans="1:8" x14ac:dyDescent="0.2">
      <c r="A377" s="19">
        <v>0</v>
      </c>
      <c r="B377" s="5" t="s">
        <v>2320</v>
      </c>
      <c r="C377" s="3">
        <v>0</v>
      </c>
      <c r="D377" s="20" t="s">
        <v>3388</v>
      </c>
      <c r="E377" s="32">
        <v>0</v>
      </c>
      <c r="F377" s="6">
        <f>C378+C379+C380+C381+C382+C383</f>
        <v>0</v>
      </c>
      <c r="G377" s="6">
        <f t="shared" si="16"/>
        <v>0</v>
      </c>
      <c r="H377" s="4" t="str">
        <f t="shared" si="17"/>
        <v>OK</v>
      </c>
    </row>
    <row r="378" spans="1:8" x14ac:dyDescent="0.2">
      <c r="A378" s="19">
        <v>0</v>
      </c>
      <c r="B378" s="5" t="s">
        <v>2321</v>
      </c>
      <c r="C378" s="3">
        <v>0</v>
      </c>
      <c r="D378" s="33" t="s">
        <v>3382</v>
      </c>
      <c r="E378" s="34" t="s">
        <v>2320</v>
      </c>
      <c r="F378" s="6">
        <f t="shared" si="15"/>
        <v>0</v>
      </c>
      <c r="G378" s="6">
        <f t="shared" si="16"/>
        <v>0</v>
      </c>
      <c r="H378" s="4" t="str">
        <f t="shared" si="17"/>
        <v>OK</v>
      </c>
    </row>
    <row r="379" spans="1:8" x14ac:dyDescent="0.2">
      <c r="A379" s="19">
        <v>0</v>
      </c>
      <c r="B379" s="5" t="s">
        <v>2322</v>
      </c>
      <c r="C379" s="3">
        <v>0</v>
      </c>
      <c r="D379" s="33" t="s">
        <v>3383</v>
      </c>
      <c r="E379" s="34" t="s">
        <v>2320</v>
      </c>
      <c r="F379" s="6">
        <f t="shared" si="15"/>
        <v>0</v>
      </c>
      <c r="G379" s="6">
        <f t="shared" si="16"/>
        <v>0</v>
      </c>
      <c r="H379" s="4" t="str">
        <f t="shared" si="17"/>
        <v>OK</v>
      </c>
    </row>
    <row r="380" spans="1:8" x14ac:dyDescent="0.2">
      <c r="A380" s="19">
        <v>0</v>
      </c>
      <c r="B380" s="5" t="s">
        <v>2323</v>
      </c>
      <c r="C380" s="3">
        <v>0</v>
      </c>
      <c r="D380" s="33" t="s">
        <v>3384</v>
      </c>
      <c r="E380" s="34" t="s">
        <v>2320</v>
      </c>
      <c r="F380" s="6">
        <f t="shared" si="15"/>
        <v>0</v>
      </c>
      <c r="G380" s="6">
        <f t="shared" si="16"/>
        <v>0</v>
      </c>
      <c r="H380" s="4" t="str">
        <f t="shared" si="17"/>
        <v>OK</v>
      </c>
    </row>
    <row r="381" spans="1:8" x14ac:dyDescent="0.2">
      <c r="A381" s="19">
        <v>0</v>
      </c>
      <c r="B381" s="5" t="s">
        <v>2324</v>
      </c>
      <c r="C381" s="3">
        <v>0</v>
      </c>
      <c r="D381" s="33" t="s">
        <v>3385</v>
      </c>
      <c r="E381" s="34" t="s">
        <v>2320</v>
      </c>
      <c r="F381" s="6">
        <f t="shared" si="15"/>
        <v>0</v>
      </c>
      <c r="G381" s="6">
        <f t="shared" si="16"/>
        <v>0</v>
      </c>
      <c r="H381" s="4" t="str">
        <f t="shared" si="17"/>
        <v>OK</v>
      </c>
    </row>
    <row r="382" spans="1:8" x14ac:dyDescent="0.2">
      <c r="A382" s="19">
        <v>0</v>
      </c>
      <c r="B382" s="5" t="s">
        <v>2325</v>
      </c>
      <c r="C382" s="3">
        <v>0</v>
      </c>
      <c r="D382" s="33" t="s">
        <v>3386</v>
      </c>
      <c r="E382" s="34" t="s">
        <v>2320</v>
      </c>
      <c r="F382" s="6">
        <f t="shared" si="15"/>
        <v>0</v>
      </c>
      <c r="G382" s="6">
        <f t="shared" si="16"/>
        <v>0</v>
      </c>
      <c r="H382" s="4" t="str">
        <f t="shared" si="17"/>
        <v>OK</v>
      </c>
    </row>
    <row r="383" spans="1:8" x14ac:dyDescent="0.2">
      <c r="A383" s="19">
        <v>0</v>
      </c>
      <c r="B383" s="5" t="s">
        <v>2326</v>
      </c>
      <c r="C383" s="3">
        <v>0</v>
      </c>
      <c r="D383" s="33" t="s">
        <v>3389</v>
      </c>
      <c r="E383" s="34" t="s">
        <v>2320</v>
      </c>
      <c r="F383" s="6">
        <f t="shared" si="15"/>
        <v>0</v>
      </c>
      <c r="G383" s="6">
        <f t="shared" si="16"/>
        <v>0</v>
      </c>
      <c r="H383" s="4" t="str">
        <f t="shared" si="17"/>
        <v>OK</v>
      </c>
    </row>
    <row r="384" spans="1:8" x14ac:dyDescent="0.2">
      <c r="A384" s="19">
        <v>0</v>
      </c>
      <c r="B384" s="5" t="s">
        <v>2327</v>
      </c>
      <c r="C384" s="3">
        <v>0</v>
      </c>
      <c r="D384" s="20" t="s">
        <v>3390</v>
      </c>
      <c r="E384" s="32">
        <v>0</v>
      </c>
      <c r="F384" s="6">
        <f>C385+C386+C387+C388+C389+C390+C391+C392</f>
        <v>0</v>
      </c>
      <c r="G384" s="6">
        <f t="shared" si="16"/>
        <v>0</v>
      </c>
      <c r="H384" s="4" t="str">
        <f t="shared" si="17"/>
        <v>OK</v>
      </c>
    </row>
    <row r="385" spans="1:8" x14ac:dyDescent="0.2">
      <c r="A385" s="19">
        <v>0</v>
      </c>
      <c r="B385" s="5" t="s">
        <v>2328</v>
      </c>
      <c r="C385" s="3">
        <v>0</v>
      </c>
      <c r="D385" s="33" t="s">
        <v>2770</v>
      </c>
      <c r="E385" s="34" t="s">
        <v>2327</v>
      </c>
      <c r="F385" s="6">
        <f t="shared" si="15"/>
        <v>0</v>
      </c>
      <c r="G385" s="6">
        <f t="shared" si="16"/>
        <v>0</v>
      </c>
      <c r="H385" s="4" t="str">
        <f t="shared" si="17"/>
        <v>OK</v>
      </c>
    </row>
    <row r="386" spans="1:8" x14ac:dyDescent="0.2">
      <c r="A386" s="19">
        <v>0</v>
      </c>
      <c r="B386" s="5" t="s">
        <v>2329</v>
      </c>
      <c r="C386" s="3">
        <v>0</v>
      </c>
      <c r="D386" s="33" t="s">
        <v>2771</v>
      </c>
      <c r="E386" s="34" t="s">
        <v>2327</v>
      </c>
      <c r="F386" s="6">
        <f t="shared" si="15"/>
        <v>0</v>
      </c>
      <c r="G386" s="6">
        <f t="shared" si="16"/>
        <v>0</v>
      </c>
      <c r="H386" s="4" t="str">
        <f t="shared" si="17"/>
        <v>OK</v>
      </c>
    </row>
    <row r="387" spans="1:8" x14ac:dyDescent="0.2">
      <c r="A387" s="19">
        <v>0</v>
      </c>
      <c r="B387" s="5" t="s">
        <v>2330</v>
      </c>
      <c r="C387" s="3">
        <v>0</v>
      </c>
      <c r="D387" s="33" t="s">
        <v>2783</v>
      </c>
      <c r="E387" s="34" t="s">
        <v>2327</v>
      </c>
      <c r="F387" s="6">
        <f t="shared" si="15"/>
        <v>0</v>
      </c>
      <c r="G387" s="6">
        <f t="shared" si="16"/>
        <v>0</v>
      </c>
      <c r="H387" s="4" t="str">
        <f t="shared" si="17"/>
        <v>OK</v>
      </c>
    </row>
    <row r="388" spans="1:8" x14ac:dyDescent="0.2">
      <c r="A388" s="19">
        <v>0</v>
      </c>
      <c r="B388" s="5" t="s">
        <v>2331</v>
      </c>
      <c r="C388" s="3">
        <v>0</v>
      </c>
      <c r="D388" s="33" t="s">
        <v>2772</v>
      </c>
      <c r="E388" s="34" t="s">
        <v>2327</v>
      </c>
      <c r="F388" s="6">
        <f t="shared" ref="F388:F450" si="18">C388</f>
        <v>0</v>
      </c>
      <c r="G388" s="6">
        <f t="shared" si="16"/>
        <v>0</v>
      </c>
      <c r="H388" s="4" t="str">
        <f t="shared" si="17"/>
        <v>OK</v>
      </c>
    </row>
    <row r="389" spans="1:8" x14ac:dyDescent="0.2">
      <c r="A389" s="19">
        <v>0</v>
      </c>
      <c r="B389" s="5" t="s">
        <v>2332</v>
      </c>
      <c r="C389" s="3">
        <v>0</v>
      </c>
      <c r="D389" s="33" t="s">
        <v>3374</v>
      </c>
      <c r="E389" s="34" t="s">
        <v>2327</v>
      </c>
      <c r="F389" s="6">
        <f t="shared" si="18"/>
        <v>0</v>
      </c>
      <c r="G389" s="6">
        <f t="shared" si="16"/>
        <v>0</v>
      </c>
      <c r="H389" s="4" t="str">
        <f t="shared" si="17"/>
        <v>OK</v>
      </c>
    </row>
    <row r="390" spans="1:8" x14ac:dyDescent="0.2">
      <c r="A390" s="19">
        <v>0</v>
      </c>
      <c r="B390" s="5" t="s">
        <v>2333</v>
      </c>
      <c r="C390" s="3">
        <v>0</v>
      </c>
      <c r="D390" s="33" t="s">
        <v>3375</v>
      </c>
      <c r="E390" s="34" t="s">
        <v>2327</v>
      </c>
      <c r="F390" s="6">
        <f t="shared" si="18"/>
        <v>0</v>
      </c>
      <c r="G390" s="6">
        <f t="shared" si="16"/>
        <v>0</v>
      </c>
      <c r="H390" s="4" t="str">
        <f t="shared" si="17"/>
        <v>OK</v>
      </c>
    </row>
    <row r="391" spans="1:8" x14ac:dyDescent="0.2">
      <c r="A391" s="19">
        <v>0</v>
      </c>
      <c r="B391" s="5" t="s">
        <v>2334</v>
      </c>
      <c r="C391" s="3">
        <v>0</v>
      </c>
      <c r="D391" s="33" t="s">
        <v>2781</v>
      </c>
      <c r="E391" s="34" t="s">
        <v>2327</v>
      </c>
      <c r="F391" s="6">
        <f t="shared" si="18"/>
        <v>0</v>
      </c>
      <c r="G391" s="6">
        <f t="shared" si="16"/>
        <v>0</v>
      </c>
      <c r="H391" s="4" t="str">
        <f t="shared" si="17"/>
        <v>OK</v>
      </c>
    </row>
    <row r="392" spans="1:8" x14ac:dyDescent="0.2">
      <c r="A392" s="19">
        <v>0</v>
      </c>
      <c r="B392" s="5" t="s">
        <v>2335</v>
      </c>
      <c r="C392" s="3">
        <v>0</v>
      </c>
      <c r="D392" s="33" t="s">
        <v>2784</v>
      </c>
      <c r="E392" s="34" t="s">
        <v>2327</v>
      </c>
      <c r="F392" s="6">
        <f t="shared" si="18"/>
        <v>0</v>
      </c>
      <c r="G392" s="6">
        <f t="shared" ref="G392:G450" si="19">F392-C392</f>
        <v>0</v>
      </c>
      <c r="H392" s="4" t="str">
        <f t="shared" ref="H392:H450" si="20">IF(G392&lt;&gt;0,"NOOK","OK")</f>
        <v>OK</v>
      </c>
    </row>
    <row r="393" spans="1:8" x14ac:dyDescent="0.2">
      <c r="A393" s="19">
        <v>0</v>
      </c>
      <c r="B393" s="5" t="s">
        <v>2336</v>
      </c>
      <c r="C393" s="3">
        <v>0</v>
      </c>
      <c r="D393" s="20" t="s">
        <v>3391</v>
      </c>
      <c r="E393" s="32">
        <v>0</v>
      </c>
      <c r="F393" s="6">
        <f>C394+C395+C396+C397+C398+C399+C400+C401</f>
        <v>0</v>
      </c>
      <c r="G393" s="6">
        <f t="shared" si="19"/>
        <v>0</v>
      </c>
      <c r="H393" s="4" t="str">
        <f t="shared" si="20"/>
        <v>OK</v>
      </c>
    </row>
    <row r="394" spans="1:8" x14ac:dyDescent="0.2">
      <c r="A394" s="19">
        <v>0</v>
      </c>
      <c r="B394" s="5" t="s">
        <v>2337</v>
      </c>
      <c r="C394" s="3">
        <v>0</v>
      </c>
      <c r="D394" s="33" t="s">
        <v>2770</v>
      </c>
      <c r="E394" s="34" t="s">
        <v>2336</v>
      </c>
      <c r="F394" s="6">
        <f t="shared" si="18"/>
        <v>0</v>
      </c>
      <c r="G394" s="6">
        <f t="shared" si="19"/>
        <v>0</v>
      </c>
      <c r="H394" s="4" t="str">
        <f t="shared" si="20"/>
        <v>OK</v>
      </c>
    </row>
    <row r="395" spans="1:8" x14ac:dyDescent="0.2">
      <c r="A395" s="19">
        <v>0</v>
      </c>
      <c r="B395" s="5" t="s">
        <v>2338</v>
      </c>
      <c r="C395" s="3">
        <v>0</v>
      </c>
      <c r="D395" s="33" t="s">
        <v>2771</v>
      </c>
      <c r="E395" s="34" t="s">
        <v>2336</v>
      </c>
      <c r="F395" s="6">
        <f t="shared" si="18"/>
        <v>0</v>
      </c>
      <c r="G395" s="6">
        <f t="shared" si="19"/>
        <v>0</v>
      </c>
      <c r="H395" s="4" t="str">
        <f t="shared" si="20"/>
        <v>OK</v>
      </c>
    </row>
    <row r="396" spans="1:8" x14ac:dyDescent="0.2">
      <c r="A396" s="19">
        <v>0</v>
      </c>
      <c r="B396" s="5" t="s">
        <v>2339</v>
      </c>
      <c r="C396" s="3">
        <v>0</v>
      </c>
      <c r="D396" s="33" t="s">
        <v>2783</v>
      </c>
      <c r="E396" s="34" t="s">
        <v>2336</v>
      </c>
      <c r="F396" s="6">
        <f t="shared" si="18"/>
        <v>0</v>
      </c>
      <c r="G396" s="6">
        <f t="shared" si="19"/>
        <v>0</v>
      </c>
      <c r="H396" s="4" t="str">
        <f t="shared" si="20"/>
        <v>OK</v>
      </c>
    </row>
    <row r="397" spans="1:8" x14ac:dyDescent="0.2">
      <c r="A397" s="19">
        <v>0</v>
      </c>
      <c r="B397" s="5" t="s">
        <v>2340</v>
      </c>
      <c r="C397" s="3">
        <v>0</v>
      </c>
      <c r="D397" s="33" t="s">
        <v>2772</v>
      </c>
      <c r="E397" s="34" t="s">
        <v>2336</v>
      </c>
      <c r="F397" s="6">
        <f t="shared" si="18"/>
        <v>0</v>
      </c>
      <c r="G397" s="6">
        <f t="shared" si="19"/>
        <v>0</v>
      </c>
      <c r="H397" s="4" t="str">
        <f t="shared" si="20"/>
        <v>OK</v>
      </c>
    </row>
    <row r="398" spans="1:8" x14ac:dyDescent="0.2">
      <c r="A398" s="19">
        <v>0</v>
      </c>
      <c r="B398" s="5" t="s">
        <v>2341</v>
      </c>
      <c r="C398" s="3">
        <v>0</v>
      </c>
      <c r="D398" s="33" t="s">
        <v>3374</v>
      </c>
      <c r="E398" s="34" t="s">
        <v>2336</v>
      </c>
      <c r="F398" s="6">
        <f t="shared" si="18"/>
        <v>0</v>
      </c>
      <c r="G398" s="6">
        <f t="shared" si="19"/>
        <v>0</v>
      </c>
      <c r="H398" s="4" t="str">
        <f t="shared" si="20"/>
        <v>OK</v>
      </c>
    </row>
    <row r="399" spans="1:8" x14ac:dyDescent="0.2">
      <c r="A399" s="19">
        <v>0</v>
      </c>
      <c r="B399" s="5" t="s">
        <v>2342</v>
      </c>
      <c r="C399" s="3">
        <v>0</v>
      </c>
      <c r="D399" s="33" t="s">
        <v>3375</v>
      </c>
      <c r="E399" s="34" t="s">
        <v>2336</v>
      </c>
      <c r="F399" s="6">
        <f t="shared" si="18"/>
        <v>0</v>
      </c>
      <c r="G399" s="6">
        <f t="shared" si="19"/>
        <v>0</v>
      </c>
      <c r="H399" s="4" t="str">
        <f t="shared" si="20"/>
        <v>OK</v>
      </c>
    </row>
    <row r="400" spans="1:8" x14ac:dyDescent="0.2">
      <c r="A400" s="19">
        <v>0</v>
      </c>
      <c r="B400" s="5" t="s">
        <v>2343</v>
      </c>
      <c r="C400" s="3">
        <v>0</v>
      </c>
      <c r="D400" s="33" t="s">
        <v>2781</v>
      </c>
      <c r="E400" s="34" t="s">
        <v>2336</v>
      </c>
      <c r="F400" s="6">
        <f t="shared" si="18"/>
        <v>0</v>
      </c>
      <c r="G400" s="6">
        <f t="shared" si="19"/>
        <v>0</v>
      </c>
      <c r="H400" s="4" t="str">
        <f t="shared" si="20"/>
        <v>OK</v>
      </c>
    </row>
    <row r="401" spans="1:8" x14ac:dyDescent="0.2">
      <c r="A401" s="19">
        <v>0</v>
      </c>
      <c r="B401" s="5" t="s">
        <v>2344</v>
      </c>
      <c r="C401" s="3">
        <v>0</v>
      </c>
      <c r="D401" s="33" t="s">
        <v>2784</v>
      </c>
      <c r="E401" s="34" t="s">
        <v>2336</v>
      </c>
      <c r="F401" s="6">
        <f t="shared" si="18"/>
        <v>0</v>
      </c>
      <c r="G401" s="6">
        <f t="shared" si="19"/>
        <v>0</v>
      </c>
      <c r="H401" s="4" t="str">
        <f t="shared" si="20"/>
        <v>OK</v>
      </c>
    </row>
    <row r="402" spans="1:8" x14ac:dyDescent="0.2">
      <c r="A402" s="19">
        <v>0</v>
      </c>
      <c r="B402" s="5" t="s">
        <v>2345</v>
      </c>
      <c r="C402" s="3">
        <v>0</v>
      </c>
      <c r="D402" s="20" t="s">
        <v>3392</v>
      </c>
      <c r="E402" s="32">
        <v>0</v>
      </c>
      <c r="F402" s="6">
        <f>C403+C404+C405+C406+C407+C408+C409+C410</f>
        <v>0</v>
      </c>
      <c r="G402" s="6">
        <f t="shared" si="19"/>
        <v>0</v>
      </c>
      <c r="H402" s="4" t="str">
        <f t="shared" si="20"/>
        <v>OK</v>
      </c>
    </row>
    <row r="403" spans="1:8" x14ac:dyDescent="0.2">
      <c r="A403" s="19">
        <v>0</v>
      </c>
      <c r="B403" s="5" t="s">
        <v>2346</v>
      </c>
      <c r="C403" s="3">
        <v>0</v>
      </c>
      <c r="D403" s="33" t="s">
        <v>2770</v>
      </c>
      <c r="E403" s="34" t="s">
        <v>2345</v>
      </c>
      <c r="F403" s="6">
        <f t="shared" si="18"/>
        <v>0</v>
      </c>
      <c r="G403" s="6">
        <f t="shared" si="19"/>
        <v>0</v>
      </c>
      <c r="H403" s="4" t="str">
        <f t="shared" si="20"/>
        <v>OK</v>
      </c>
    </row>
    <row r="404" spans="1:8" x14ac:dyDescent="0.2">
      <c r="A404" s="19">
        <v>0</v>
      </c>
      <c r="B404" s="5" t="s">
        <v>2347</v>
      </c>
      <c r="C404" s="3">
        <v>0</v>
      </c>
      <c r="D404" s="33" t="s">
        <v>2771</v>
      </c>
      <c r="E404" s="34" t="s">
        <v>2345</v>
      </c>
      <c r="F404" s="6">
        <f t="shared" si="18"/>
        <v>0</v>
      </c>
      <c r="G404" s="6">
        <f t="shared" si="19"/>
        <v>0</v>
      </c>
      <c r="H404" s="4" t="str">
        <f t="shared" si="20"/>
        <v>OK</v>
      </c>
    </row>
    <row r="405" spans="1:8" x14ac:dyDescent="0.2">
      <c r="A405" s="19">
        <v>0</v>
      </c>
      <c r="B405" s="5" t="s">
        <v>2348</v>
      </c>
      <c r="C405" s="3">
        <v>0</v>
      </c>
      <c r="D405" s="33" t="s">
        <v>2783</v>
      </c>
      <c r="E405" s="34" t="s">
        <v>2345</v>
      </c>
      <c r="F405" s="6">
        <f t="shared" si="18"/>
        <v>0</v>
      </c>
      <c r="G405" s="6">
        <f t="shared" si="19"/>
        <v>0</v>
      </c>
      <c r="H405" s="4" t="str">
        <f t="shared" si="20"/>
        <v>OK</v>
      </c>
    </row>
    <row r="406" spans="1:8" x14ac:dyDescent="0.2">
      <c r="A406" s="19">
        <v>0</v>
      </c>
      <c r="B406" s="5" t="s">
        <v>2349</v>
      </c>
      <c r="C406" s="3">
        <v>0</v>
      </c>
      <c r="D406" s="33" t="s">
        <v>2772</v>
      </c>
      <c r="E406" s="34" t="s">
        <v>2345</v>
      </c>
      <c r="F406" s="6">
        <f t="shared" si="18"/>
        <v>0</v>
      </c>
      <c r="G406" s="6">
        <f t="shared" si="19"/>
        <v>0</v>
      </c>
      <c r="H406" s="4" t="str">
        <f t="shared" si="20"/>
        <v>OK</v>
      </c>
    </row>
    <row r="407" spans="1:8" x14ac:dyDescent="0.2">
      <c r="A407" s="19">
        <v>0</v>
      </c>
      <c r="B407" s="5" t="s">
        <v>2350</v>
      </c>
      <c r="C407" s="3">
        <v>0</v>
      </c>
      <c r="D407" s="33" t="s">
        <v>3374</v>
      </c>
      <c r="E407" s="34" t="s">
        <v>2345</v>
      </c>
      <c r="F407" s="6">
        <f t="shared" si="18"/>
        <v>0</v>
      </c>
      <c r="G407" s="6">
        <f t="shared" si="19"/>
        <v>0</v>
      </c>
      <c r="H407" s="4" t="str">
        <f t="shared" si="20"/>
        <v>OK</v>
      </c>
    </row>
    <row r="408" spans="1:8" x14ac:dyDescent="0.2">
      <c r="A408" s="19">
        <v>0</v>
      </c>
      <c r="B408" s="5" t="s">
        <v>2351</v>
      </c>
      <c r="C408" s="3">
        <v>0</v>
      </c>
      <c r="D408" s="33" t="s">
        <v>3375</v>
      </c>
      <c r="E408" s="34" t="s">
        <v>2345</v>
      </c>
      <c r="F408" s="6">
        <f t="shared" si="18"/>
        <v>0</v>
      </c>
      <c r="G408" s="6">
        <f t="shared" si="19"/>
        <v>0</v>
      </c>
      <c r="H408" s="4" t="str">
        <f t="shared" si="20"/>
        <v>OK</v>
      </c>
    </row>
    <row r="409" spans="1:8" x14ac:dyDescent="0.2">
      <c r="A409" s="19">
        <v>0</v>
      </c>
      <c r="B409" s="5" t="s">
        <v>2352</v>
      </c>
      <c r="C409" s="3">
        <v>0</v>
      </c>
      <c r="D409" s="33" t="s">
        <v>2781</v>
      </c>
      <c r="E409" s="34" t="s">
        <v>2345</v>
      </c>
      <c r="F409" s="6">
        <f t="shared" si="18"/>
        <v>0</v>
      </c>
      <c r="G409" s="6">
        <f t="shared" si="19"/>
        <v>0</v>
      </c>
      <c r="H409" s="4" t="str">
        <f t="shared" si="20"/>
        <v>OK</v>
      </c>
    </row>
    <row r="410" spans="1:8" x14ac:dyDescent="0.2">
      <c r="A410" s="19">
        <v>0</v>
      </c>
      <c r="B410" s="5" t="s">
        <v>2353</v>
      </c>
      <c r="C410" s="3">
        <v>0</v>
      </c>
      <c r="D410" s="33" t="s">
        <v>2784</v>
      </c>
      <c r="E410" s="34" t="s">
        <v>2345</v>
      </c>
      <c r="F410" s="6">
        <f t="shared" si="18"/>
        <v>0</v>
      </c>
      <c r="G410" s="6">
        <f t="shared" si="19"/>
        <v>0</v>
      </c>
      <c r="H410" s="4" t="str">
        <f t="shared" si="20"/>
        <v>OK</v>
      </c>
    </row>
    <row r="411" spans="1:8" x14ac:dyDescent="0.2">
      <c r="A411" s="19">
        <v>0</v>
      </c>
      <c r="B411" s="5" t="s">
        <v>2354</v>
      </c>
      <c r="C411" s="3">
        <v>0</v>
      </c>
      <c r="D411" s="20" t="s">
        <v>3393</v>
      </c>
      <c r="E411" s="32">
        <v>0</v>
      </c>
      <c r="F411" s="6">
        <f>C412+C415+C428+C435</f>
        <v>0</v>
      </c>
      <c r="G411" s="6">
        <f t="shared" si="19"/>
        <v>0</v>
      </c>
      <c r="H411" s="4" t="str">
        <f t="shared" si="20"/>
        <v>OK</v>
      </c>
    </row>
    <row r="412" spans="1:8" x14ac:dyDescent="0.2">
      <c r="A412" s="19">
        <v>0</v>
      </c>
      <c r="B412" s="5" t="s">
        <v>2355</v>
      </c>
      <c r="C412" s="3">
        <v>0</v>
      </c>
      <c r="D412" s="33" t="s">
        <v>2460</v>
      </c>
      <c r="E412" s="34" t="s">
        <v>2354</v>
      </c>
      <c r="F412" s="6">
        <f>C413+C414</f>
        <v>0</v>
      </c>
      <c r="G412" s="6">
        <f t="shared" si="19"/>
        <v>0</v>
      </c>
      <c r="H412" s="4" t="str">
        <f t="shared" si="20"/>
        <v>OK</v>
      </c>
    </row>
    <row r="413" spans="1:8" x14ac:dyDescent="0.2">
      <c r="A413" s="19">
        <v>0</v>
      </c>
      <c r="B413" s="5" t="s">
        <v>2356</v>
      </c>
      <c r="C413" s="3">
        <v>0</v>
      </c>
      <c r="D413" s="35" t="s">
        <v>2485</v>
      </c>
      <c r="E413" s="36" t="s">
        <v>2355</v>
      </c>
      <c r="F413" s="6">
        <f t="shared" si="18"/>
        <v>0</v>
      </c>
      <c r="G413" s="6">
        <f t="shared" si="19"/>
        <v>0</v>
      </c>
      <c r="H413" s="4" t="str">
        <f t="shared" si="20"/>
        <v>OK</v>
      </c>
    </row>
    <row r="414" spans="1:8" x14ac:dyDescent="0.2">
      <c r="A414" s="19">
        <v>0</v>
      </c>
      <c r="B414" s="5" t="s">
        <v>2357</v>
      </c>
      <c r="C414" s="3">
        <v>0</v>
      </c>
      <c r="D414" s="35" t="s">
        <v>2498</v>
      </c>
      <c r="E414" s="36" t="s">
        <v>2355</v>
      </c>
      <c r="F414" s="6">
        <f t="shared" si="18"/>
        <v>0</v>
      </c>
      <c r="G414" s="6">
        <f t="shared" si="19"/>
        <v>0</v>
      </c>
      <c r="H414" s="4" t="str">
        <f t="shared" si="20"/>
        <v>OK</v>
      </c>
    </row>
    <row r="415" spans="1:8" x14ac:dyDescent="0.2">
      <c r="A415" s="19">
        <v>0</v>
      </c>
      <c r="B415" s="5" t="s">
        <v>2358</v>
      </c>
      <c r="C415" s="3">
        <v>0</v>
      </c>
      <c r="D415" s="33" t="s">
        <v>2461</v>
      </c>
      <c r="E415" s="34" t="s">
        <v>2354</v>
      </c>
      <c r="F415" s="6">
        <f>C416+C421+C422+C423+C424+C425+C426+C427</f>
        <v>0</v>
      </c>
      <c r="G415" s="6">
        <f t="shared" si="19"/>
        <v>0</v>
      </c>
      <c r="H415" s="4" t="str">
        <f t="shared" si="20"/>
        <v>OK</v>
      </c>
    </row>
    <row r="416" spans="1:8" x14ac:dyDescent="0.2">
      <c r="A416" s="19">
        <v>0</v>
      </c>
      <c r="B416" s="5" t="s">
        <v>2359</v>
      </c>
      <c r="C416" s="3">
        <v>0</v>
      </c>
      <c r="D416" s="35" t="s">
        <v>2512</v>
      </c>
      <c r="E416" s="36" t="s">
        <v>2358</v>
      </c>
      <c r="F416" s="6">
        <f>C417+C418+C419+C420</f>
        <v>0</v>
      </c>
      <c r="G416" s="6">
        <f t="shared" si="19"/>
        <v>0</v>
      </c>
      <c r="H416" s="4" t="str">
        <f t="shared" si="20"/>
        <v>OK</v>
      </c>
    </row>
    <row r="417" spans="1:8" x14ac:dyDescent="0.2">
      <c r="A417" s="19">
        <v>0</v>
      </c>
      <c r="B417" s="5" t="s">
        <v>2360</v>
      </c>
      <c r="C417" s="3">
        <v>0</v>
      </c>
      <c r="D417" s="37" t="s">
        <v>3243</v>
      </c>
      <c r="E417" s="38" t="s">
        <v>2359</v>
      </c>
      <c r="F417" s="6">
        <f t="shared" si="18"/>
        <v>0</v>
      </c>
      <c r="G417" s="6">
        <f t="shared" si="19"/>
        <v>0</v>
      </c>
      <c r="H417" s="4" t="str">
        <f t="shared" si="20"/>
        <v>OK</v>
      </c>
    </row>
    <row r="418" spans="1:8" x14ac:dyDescent="0.2">
      <c r="A418" s="19">
        <v>0</v>
      </c>
      <c r="B418" s="5" t="s">
        <v>2361</v>
      </c>
      <c r="C418" s="3">
        <v>0</v>
      </c>
      <c r="D418" s="37" t="s">
        <v>3244</v>
      </c>
      <c r="E418" s="38" t="s">
        <v>2359</v>
      </c>
      <c r="F418" s="6">
        <f t="shared" si="18"/>
        <v>0</v>
      </c>
      <c r="G418" s="6">
        <f t="shared" si="19"/>
        <v>0</v>
      </c>
      <c r="H418" s="4" t="str">
        <f t="shared" si="20"/>
        <v>OK</v>
      </c>
    </row>
    <row r="419" spans="1:8" x14ac:dyDescent="0.2">
      <c r="A419" s="19">
        <v>0</v>
      </c>
      <c r="B419" s="5" t="s">
        <v>2362</v>
      </c>
      <c r="C419" s="3">
        <v>0</v>
      </c>
      <c r="D419" s="37" t="s">
        <v>3245</v>
      </c>
      <c r="E419" s="38" t="s">
        <v>2359</v>
      </c>
      <c r="F419" s="6">
        <f t="shared" si="18"/>
        <v>0</v>
      </c>
      <c r="G419" s="6">
        <f t="shared" si="19"/>
        <v>0</v>
      </c>
      <c r="H419" s="4" t="str">
        <f t="shared" si="20"/>
        <v>OK</v>
      </c>
    </row>
    <row r="420" spans="1:8" x14ac:dyDescent="0.2">
      <c r="A420" s="19">
        <v>0</v>
      </c>
      <c r="B420" s="5" t="s">
        <v>2363</v>
      </c>
      <c r="C420" s="3">
        <v>0</v>
      </c>
      <c r="D420" s="37" t="s">
        <v>2515</v>
      </c>
      <c r="E420" s="38" t="s">
        <v>2359</v>
      </c>
      <c r="F420" s="6">
        <f t="shared" si="18"/>
        <v>0</v>
      </c>
      <c r="G420" s="6">
        <f t="shared" si="19"/>
        <v>0</v>
      </c>
      <c r="H420" s="4" t="str">
        <f t="shared" si="20"/>
        <v>OK</v>
      </c>
    </row>
    <row r="421" spans="1:8" x14ac:dyDescent="0.2">
      <c r="A421" s="19">
        <v>0</v>
      </c>
      <c r="B421" s="5" t="s">
        <v>2364</v>
      </c>
      <c r="C421" s="3">
        <v>0</v>
      </c>
      <c r="D421" s="35" t="s">
        <v>2519</v>
      </c>
      <c r="E421" s="36" t="s">
        <v>2358</v>
      </c>
      <c r="F421" s="6">
        <f t="shared" si="18"/>
        <v>0</v>
      </c>
      <c r="G421" s="6">
        <f t="shared" si="19"/>
        <v>0</v>
      </c>
      <c r="H421" s="4" t="str">
        <f t="shared" si="20"/>
        <v>OK</v>
      </c>
    </row>
    <row r="422" spans="1:8" x14ac:dyDescent="0.2">
      <c r="A422" s="19">
        <v>0</v>
      </c>
      <c r="B422" s="5" t="s">
        <v>2365</v>
      </c>
      <c r="C422" s="3">
        <v>0</v>
      </c>
      <c r="D422" s="35" t="s">
        <v>2526</v>
      </c>
      <c r="E422" s="36" t="s">
        <v>2358</v>
      </c>
      <c r="F422" s="6">
        <f t="shared" si="18"/>
        <v>0</v>
      </c>
      <c r="G422" s="6">
        <f t="shared" si="19"/>
        <v>0</v>
      </c>
      <c r="H422" s="4" t="str">
        <f t="shared" si="20"/>
        <v>OK</v>
      </c>
    </row>
    <row r="423" spans="1:8" x14ac:dyDescent="0.2">
      <c r="A423" s="19">
        <v>0</v>
      </c>
      <c r="B423" s="5" t="s">
        <v>2366</v>
      </c>
      <c r="C423" s="3">
        <v>0</v>
      </c>
      <c r="D423" s="35" t="s">
        <v>2527</v>
      </c>
      <c r="E423" s="36" t="s">
        <v>2358</v>
      </c>
      <c r="F423" s="6">
        <f t="shared" si="18"/>
        <v>0</v>
      </c>
      <c r="G423" s="6">
        <f t="shared" si="19"/>
        <v>0</v>
      </c>
      <c r="H423" s="4" t="str">
        <f t="shared" si="20"/>
        <v>OK</v>
      </c>
    </row>
    <row r="424" spans="1:8" x14ac:dyDescent="0.2">
      <c r="A424" s="19">
        <v>0</v>
      </c>
      <c r="B424" s="5" t="s">
        <v>2367</v>
      </c>
      <c r="C424" s="3">
        <v>0</v>
      </c>
      <c r="D424" s="35" t="s">
        <v>2530</v>
      </c>
      <c r="E424" s="36" t="s">
        <v>2358</v>
      </c>
      <c r="F424" s="6">
        <f t="shared" si="18"/>
        <v>0</v>
      </c>
      <c r="G424" s="6">
        <f t="shared" si="19"/>
        <v>0</v>
      </c>
      <c r="H424" s="4" t="str">
        <f t="shared" si="20"/>
        <v>OK</v>
      </c>
    </row>
    <row r="425" spans="1:8" x14ac:dyDescent="0.2">
      <c r="A425" s="19">
        <v>0</v>
      </c>
      <c r="B425" s="5" t="s">
        <v>2368</v>
      </c>
      <c r="C425" s="3">
        <v>0</v>
      </c>
      <c r="D425" s="35" t="s">
        <v>3246</v>
      </c>
      <c r="E425" s="36" t="s">
        <v>2358</v>
      </c>
      <c r="F425" s="6">
        <f t="shared" si="18"/>
        <v>0</v>
      </c>
      <c r="G425" s="6">
        <f t="shared" si="19"/>
        <v>0</v>
      </c>
      <c r="H425" s="4" t="str">
        <f t="shared" si="20"/>
        <v>OK</v>
      </c>
    </row>
    <row r="426" spans="1:8" x14ac:dyDescent="0.2">
      <c r="A426" s="19">
        <v>0</v>
      </c>
      <c r="B426" s="5" t="s">
        <v>2369</v>
      </c>
      <c r="C426" s="3">
        <v>0</v>
      </c>
      <c r="D426" s="35" t="s">
        <v>2536</v>
      </c>
      <c r="E426" s="36" t="s">
        <v>2358</v>
      </c>
      <c r="F426" s="6">
        <f t="shared" si="18"/>
        <v>0</v>
      </c>
      <c r="G426" s="6">
        <f t="shared" si="19"/>
        <v>0</v>
      </c>
      <c r="H426" s="4" t="str">
        <f t="shared" si="20"/>
        <v>OK</v>
      </c>
    </row>
    <row r="427" spans="1:8" x14ac:dyDescent="0.2">
      <c r="A427" s="19">
        <v>0</v>
      </c>
      <c r="B427" s="5" t="s">
        <v>2370</v>
      </c>
      <c r="C427" s="3">
        <v>0</v>
      </c>
      <c r="D427" s="35" t="s">
        <v>2540</v>
      </c>
      <c r="E427" s="36" t="s">
        <v>2358</v>
      </c>
      <c r="F427" s="6">
        <f t="shared" si="18"/>
        <v>0</v>
      </c>
      <c r="G427" s="6">
        <f t="shared" si="19"/>
        <v>0</v>
      </c>
      <c r="H427" s="4" t="str">
        <f t="shared" si="20"/>
        <v>OK</v>
      </c>
    </row>
    <row r="428" spans="1:8" x14ac:dyDescent="0.2">
      <c r="A428" s="19">
        <v>0</v>
      </c>
      <c r="B428" s="5" t="s">
        <v>2371</v>
      </c>
      <c r="C428" s="3">
        <v>0</v>
      </c>
      <c r="D428" s="33" t="s">
        <v>2462</v>
      </c>
      <c r="E428" s="34" t="s">
        <v>2354</v>
      </c>
      <c r="F428" s="6">
        <f>C429+C430+C431+C432+C433+C434</f>
        <v>0</v>
      </c>
      <c r="G428" s="6">
        <f t="shared" si="19"/>
        <v>0</v>
      </c>
      <c r="H428" s="4" t="str">
        <f t="shared" si="20"/>
        <v>OK</v>
      </c>
    </row>
    <row r="429" spans="1:8" x14ac:dyDescent="0.2">
      <c r="A429" s="19">
        <v>0</v>
      </c>
      <c r="B429" s="5" t="s">
        <v>2372</v>
      </c>
      <c r="C429" s="3">
        <v>0</v>
      </c>
      <c r="D429" s="35" t="s">
        <v>3247</v>
      </c>
      <c r="E429" s="36" t="s">
        <v>2371</v>
      </c>
      <c r="F429" s="6">
        <f t="shared" si="18"/>
        <v>0</v>
      </c>
      <c r="G429" s="6">
        <f t="shared" si="19"/>
        <v>0</v>
      </c>
      <c r="H429" s="4" t="str">
        <f t="shared" si="20"/>
        <v>OK</v>
      </c>
    </row>
    <row r="430" spans="1:8" x14ac:dyDescent="0.2">
      <c r="A430" s="19">
        <v>0</v>
      </c>
      <c r="B430" s="5" t="s">
        <v>2373</v>
      </c>
      <c r="C430" s="3">
        <v>0</v>
      </c>
      <c r="D430" s="35" t="s">
        <v>2545</v>
      </c>
      <c r="E430" s="36" t="s">
        <v>2371</v>
      </c>
      <c r="F430" s="6">
        <f t="shared" si="18"/>
        <v>0</v>
      </c>
      <c r="G430" s="6">
        <f t="shared" si="19"/>
        <v>0</v>
      </c>
      <c r="H430" s="4" t="str">
        <f t="shared" si="20"/>
        <v>OK</v>
      </c>
    </row>
    <row r="431" spans="1:8" x14ac:dyDescent="0.2">
      <c r="A431" s="19">
        <v>0</v>
      </c>
      <c r="B431" s="5" t="s">
        <v>2374</v>
      </c>
      <c r="C431" s="3">
        <v>0</v>
      </c>
      <c r="D431" s="35" t="s">
        <v>2546</v>
      </c>
      <c r="E431" s="36" t="s">
        <v>2371</v>
      </c>
      <c r="F431" s="6">
        <f t="shared" si="18"/>
        <v>0</v>
      </c>
      <c r="G431" s="6">
        <f t="shared" si="19"/>
        <v>0</v>
      </c>
      <c r="H431" s="4" t="str">
        <f t="shared" si="20"/>
        <v>OK</v>
      </c>
    </row>
    <row r="432" spans="1:8" x14ac:dyDescent="0.2">
      <c r="A432" s="19">
        <v>0</v>
      </c>
      <c r="B432" s="5" t="s">
        <v>2375</v>
      </c>
      <c r="C432" s="3">
        <v>0</v>
      </c>
      <c r="D432" s="35" t="s">
        <v>2547</v>
      </c>
      <c r="E432" s="36" t="s">
        <v>2371</v>
      </c>
      <c r="F432" s="6">
        <f t="shared" si="18"/>
        <v>0</v>
      </c>
      <c r="G432" s="6">
        <f t="shared" si="19"/>
        <v>0</v>
      </c>
      <c r="H432" s="4" t="str">
        <f t="shared" si="20"/>
        <v>OK</v>
      </c>
    </row>
    <row r="433" spans="1:8" x14ac:dyDescent="0.2">
      <c r="A433" s="19">
        <v>0</v>
      </c>
      <c r="B433" s="5" t="s">
        <v>2376</v>
      </c>
      <c r="C433" s="3">
        <v>0</v>
      </c>
      <c r="D433" s="35" t="s">
        <v>3248</v>
      </c>
      <c r="E433" s="36" t="s">
        <v>2371</v>
      </c>
      <c r="F433" s="6">
        <f t="shared" si="18"/>
        <v>0</v>
      </c>
      <c r="G433" s="6">
        <f t="shared" si="19"/>
        <v>0</v>
      </c>
      <c r="H433" s="4" t="str">
        <f t="shared" si="20"/>
        <v>OK</v>
      </c>
    </row>
    <row r="434" spans="1:8" x14ac:dyDescent="0.2">
      <c r="A434" s="19">
        <v>0</v>
      </c>
      <c r="B434" s="5" t="s">
        <v>2377</v>
      </c>
      <c r="C434" s="3">
        <v>0</v>
      </c>
      <c r="D434" s="35" t="s">
        <v>2540</v>
      </c>
      <c r="E434" s="36" t="s">
        <v>2371</v>
      </c>
      <c r="F434" s="6">
        <f t="shared" si="18"/>
        <v>0</v>
      </c>
      <c r="G434" s="6">
        <f t="shared" si="19"/>
        <v>0</v>
      </c>
      <c r="H434" s="4" t="str">
        <f t="shared" si="20"/>
        <v>OK</v>
      </c>
    </row>
    <row r="435" spans="1:8" x14ac:dyDescent="0.2">
      <c r="A435" s="19">
        <v>0</v>
      </c>
      <c r="B435" s="5" t="s">
        <v>2378</v>
      </c>
      <c r="C435" s="3">
        <v>0</v>
      </c>
      <c r="D435" s="33" t="s">
        <v>2463</v>
      </c>
      <c r="E435" s="34" t="s">
        <v>2354</v>
      </c>
      <c r="F435" s="6">
        <f>C436+C437+C438+C439+C440</f>
        <v>0</v>
      </c>
      <c r="G435" s="6">
        <f t="shared" si="19"/>
        <v>0</v>
      </c>
      <c r="H435" s="4" t="str">
        <f t="shared" si="20"/>
        <v>OK</v>
      </c>
    </row>
    <row r="436" spans="1:8" x14ac:dyDescent="0.2">
      <c r="A436" s="19">
        <v>0</v>
      </c>
      <c r="B436" s="5" t="s">
        <v>2379</v>
      </c>
      <c r="C436" s="3">
        <v>0</v>
      </c>
      <c r="D436" s="35" t="s">
        <v>2554</v>
      </c>
      <c r="E436" s="36" t="s">
        <v>2378</v>
      </c>
      <c r="F436" s="6">
        <f t="shared" si="18"/>
        <v>0</v>
      </c>
      <c r="G436" s="6">
        <f t="shared" si="19"/>
        <v>0</v>
      </c>
      <c r="H436" s="4" t="str">
        <f t="shared" si="20"/>
        <v>OK</v>
      </c>
    </row>
    <row r="437" spans="1:8" x14ac:dyDescent="0.2">
      <c r="A437" s="19">
        <v>0</v>
      </c>
      <c r="B437" s="5" t="s">
        <v>2380</v>
      </c>
      <c r="C437" s="3">
        <v>0</v>
      </c>
      <c r="D437" s="35" t="s">
        <v>2526</v>
      </c>
      <c r="E437" s="36" t="s">
        <v>2378</v>
      </c>
      <c r="F437" s="6">
        <f t="shared" si="18"/>
        <v>0</v>
      </c>
      <c r="G437" s="6">
        <f t="shared" si="19"/>
        <v>0</v>
      </c>
      <c r="H437" s="4" t="str">
        <f t="shared" si="20"/>
        <v>OK</v>
      </c>
    </row>
    <row r="438" spans="1:8" x14ac:dyDescent="0.2">
      <c r="A438" s="19">
        <v>0</v>
      </c>
      <c r="B438" s="5" t="s">
        <v>2381</v>
      </c>
      <c r="C438" s="3">
        <v>0</v>
      </c>
      <c r="D438" s="35" t="s">
        <v>2527</v>
      </c>
      <c r="E438" s="36" t="s">
        <v>2378</v>
      </c>
      <c r="F438" s="6">
        <f t="shared" si="18"/>
        <v>0</v>
      </c>
      <c r="G438" s="6">
        <f t="shared" si="19"/>
        <v>0</v>
      </c>
      <c r="H438" s="4" t="str">
        <f t="shared" si="20"/>
        <v>OK</v>
      </c>
    </row>
    <row r="439" spans="1:8" x14ac:dyDescent="0.2">
      <c r="A439" s="19">
        <v>0</v>
      </c>
      <c r="B439" s="5" t="s">
        <v>2382</v>
      </c>
      <c r="C439" s="3">
        <v>0</v>
      </c>
      <c r="D439" s="35" t="s">
        <v>3249</v>
      </c>
      <c r="E439" s="36" t="s">
        <v>2378</v>
      </c>
      <c r="F439" s="6">
        <f t="shared" si="18"/>
        <v>0</v>
      </c>
      <c r="G439" s="6">
        <f t="shared" si="19"/>
        <v>0</v>
      </c>
      <c r="H439" s="4" t="str">
        <f t="shared" si="20"/>
        <v>OK</v>
      </c>
    </row>
    <row r="440" spans="1:8" x14ac:dyDescent="0.2">
      <c r="A440" s="19">
        <v>0</v>
      </c>
      <c r="B440" s="5" t="s">
        <v>2383</v>
      </c>
      <c r="C440" s="3">
        <v>0</v>
      </c>
      <c r="D440" s="35" t="s">
        <v>2540</v>
      </c>
      <c r="E440" s="36" t="s">
        <v>2378</v>
      </c>
      <c r="F440" s="6">
        <f t="shared" si="18"/>
        <v>0</v>
      </c>
      <c r="G440" s="6">
        <f t="shared" si="19"/>
        <v>0</v>
      </c>
      <c r="H440" s="4" t="str">
        <f t="shared" si="20"/>
        <v>OK</v>
      </c>
    </row>
    <row r="441" spans="1:8" x14ac:dyDescent="0.2">
      <c r="A441" s="19">
        <v>0</v>
      </c>
      <c r="B441" s="5" t="s">
        <v>2384</v>
      </c>
      <c r="C441" s="3">
        <v>0</v>
      </c>
      <c r="D441" s="20" t="s">
        <v>3394</v>
      </c>
      <c r="E441" s="32">
        <v>0</v>
      </c>
      <c r="F441" s="6">
        <f>C442+C443+C444+C445</f>
        <v>0</v>
      </c>
      <c r="G441" s="6">
        <f t="shared" si="19"/>
        <v>0</v>
      </c>
      <c r="H441" s="4" t="str">
        <f t="shared" si="20"/>
        <v>OK</v>
      </c>
    </row>
    <row r="442" spans="1:8" x14ac:dyDescent="0.2">
      <c r="A442" s="19">
        <v>0</v>
      </c>
      <c r="B442" s="5" t="s">
        <v>2385</v>
      </c>
      <c r="C442" s="3">
        <v>0</v>
      </c>
      <c r="D442" s="33" t="s">
        <v>2460</v>
      </c>
      <c r="E442" s="34" t="s">
        <v>2384</v>
      </c>
      <c r="F442" s="6">
        <f t="shared" si="18"/>
        <v>0</v>
      </c>
      <c r="G442" s="6">
        <f t="shared" si="19"/>
        <v>0</v>
      </c>
      <c r="H442" s="4" t="str">
        <f t="shared" si="20"/>
        <v>OK</v>
      </c>
    </row>
    <row r="443" spans="1:8" x14ac:dyDescent="0.2">
      <c r="A443" s="19">
        <v>0</v>
      </c>
      <c r="B443" s="5" t="s">
        <v>2386</v>
      </c>
      <c r="C443" s="3">
        <v>0</v>
      </c>
      <c r="D443" s="33" t="s">
        <v>2461</v>
      </c>
      <c r="E443" s="34" t="s">
        <v>2384</v>
      </c>
      <c r="F443" s="6">
        <f t="shared" si="18"/>
        <v>0</v>
      </c>
      <c r="G443" s="6">
        <f t="shared" si="19"/>
        <v>0</v>
      </c>
      <c r="H443" s="4" t="str">
        <f t="shared" si="20"/>
        <v>OK</v>
      </c>
    </row>
    <row r="444" spans="1:8" x14ac:dyDescent="0.2">
      <c r="A444" s="19">
        <v>0</v>
      </c>
      <c r="B444" s="5" t="s">
        <v>2387</v>
      </c>
      <c r="C444" s="3">
        <v>0</v>
      </c>
      <c r="D444" s="33" t="s">
        <v>2462</v>
      </c>
      <c r="E444" s="34" t="s">
        <v>2384</v>
      </c>
      <c r="F444" s="6">
        <f t="shared" si="18"/>
        <v>0</v>
      </c>
      <c r="G444" s="6">
        <f t="shared" si="19"/>
        <v>0</v>
      </c>
      <c r="H444" s="4" t="str">
        <f t="shared" si="20"/>
        <v>OK</v>
      </c>
    </row>
    <row r="445" spans="1:8" x14ac:dyDescent="0.2">
      <c r="A445" s="19">
        <v>0</v>
      </c>
      <c r="B445" s="5" t="s">
        <v>2388</v>
      </c>
      <c r="C445" s="3">
        <v>0</v>
      </c>
      <c r="D445" s="33" t="s">
        <v>2463</v>
      </c>
      <c r="E445" s="34" t="s">
        <v>2384</v>
      </c>
      <c r="F445" s="6">
        <f t="shared" si="18"/>
        <v>0</v>
      </c>
      <c r="G445" s="6">
        <f t="shared" si="19"/>
        <v>0</v>
      </c>
      <c r="H445" s="4" t="str">
        <f t="shared" si="20"/>
        <v>OK</v>
      </c>
    </row>
    <row r="446" spans="1:8" x14ac:dyDescent="0.2">
      <c r="A446" s="19">
        <v>0</v>
      </c>
      <c r="B446" s="5" t="s">
        <v>2389</v>
      </c>
      <c r="C446" s="3">
        <v>0</v>
      </c>
      <c r="D446" s="20" t="s">
        <v>3395</v>
      </c>
      <c r="E446" s="32">
        <v>0</v>
      </c>
      <c r="F446" s="6">
        <f>C447+C448+C449+C450</f>
        <v>0</v>
      </c>
      <c r="G446" s="6">
        <f t="shared" si="19"/>
        <v>0</v>
      </c>
      <c r="H446" s="4" t="str">
        <f t="shared" si="20"/>
        <v>OK</v>
      </c>
    </row>
    <row r="447" spans="1:8" x14ac:dyDescent="0.2">
      <c r="A447" s="19">
        <v>0</v>
      </c>
      <c r="B447" s="5" t="s">
        <v>2390</v>
      </c>
      <c r="C447" s="3">
        <v>0</v>
      </c>
      <c r="D447" s="33" t="s">
        <v>2460</v>
      </c>
      <c r="E447" s="34" t="s">
        <v>2389</v>
      </c>
      <c r="F447" s="6">
        <f t="shared" si="18"/>
        <v>0</v>
      </c>
      <c r="G447" s="6">
        <f t="shared" si="19"/>
        <v>0</v>
      </c>
      <c r="H447" s="4" t="str">
        <f t="shared" si="20"/>
        <v>OK</v>
      </c>
    </row>
    <row r="448" spans="1:8" x14ac:dyDescent="0.2">
      <c r="A448" s="19">
        <v>0</v>
      </c>
      <c r="B448" s="5" t="s">
        <v>2391</v>
      </c>
      <c r="C448" s="3">
        <v>0</v>
      </c>
      <c r="D448" s="33" t="s">
        <v>2461</v>
      </c>
      <c r="E448" s="34" t="s">
        <v>2389</v>
      </c>
      <c r="F448" s="6">
        <f t="shared" si="18"/>
        <v>0</v>
      </c>
      <c r="G448" s="6">
        <f t="shared" si="19"/>
        <v>0</v>
      </c>
      <c r="H448" s="4" t="str">
        <f t="shared" si="20"/>
        <v>OK</v>
      </c>
    </row>
    <row r="449" spans="1:8" x14ac:dyDescent="0.2">
      <c r="A449" s="19">
        <v>0</v>
      </c>
      <c r="B449" s="5" t="s">
        <v>2392</v>
      </c>
      <c r="C449" s="3">
        <v>0</v>
      </c>
      <c r="D449" s="33" t="s">
        <v>2462</v>
      </c>
      <c r="E449" s="34" t="s">
        <v>2389</v>
      </c>
      <c r="F449" s="6">
        <f t="shared" si="18"/>
        <v>0</v>
      </c>
      <c r="G449" s="6">
        <f t="shared" si="19"/>
        <v>0</v>
      </c>
      <c r="H449" s="4" t="str">
        <f t="shared" si="20"/>
        <v>OK</v>
      </c>
    </row>
    <row r="450" spans="1:8" x14ac:dyDescent="0.2">
      <c r="A450" s="19">
        <v>0</v>
      </c>
      <c r="B450" s="5" t="s">
        <v>2393</v>
      </c>
      <c r="C450" s="3">
        <v>0</v>
      </c>
      <c r="D450" s="33" t="s">
        <v>2463</v>
      </c>
      <c r="E450" s="34" t="s">
        <v>2389</v>
      </c>
      <c r="F450" s="6">
        <f t="shared" si="18"/>
        <v>0</v>
      </c>
      <c r="G450" s="6">
        <f t="shared" si="19"/>
        <v>0</v>
      </c>
      <c r="H450" s="4" t="str">
        <f t="shared" si="20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8" priority="3" operator="equal">
      <formula>"NOOK"</formula>
    </cfRule>
  </conditionalFormatting>
  <conditionalFormatting sqref="I104:I117">
    <cfRule type="cellIs" dxfId="7" priority="1" operator="equal">
      <formula>"NOOK"</formula>
    </cfRule>
    <cfRule type="cellIs" dxfId="6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0"/>
  <sheetViews>
    <sheetView topLeftCell="A265" zoomScaleNormal="100" workbookViewId="0">
      <selection activeCell="E277" sqref="E277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3240</v>
      </c>
      <c r="G1" s="18" t="s">
        <v>3241</v>
      </c>
      <c r="K1" s="6"/>
    </row>
    <row r="2" spans="1:11" s="4" customFormat="1" x14ac:dyDescent="0.2">
      <c r="A2" s="5" t="s">
        <v>1945</v>
      </c>
      <c r="B2" s="3">
        <v>0</v>
      </c>
      <c r="C2" s="20" t="s">
        <v>3242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3243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3244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3245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3246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3247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3248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3249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3250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3243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3244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3245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3246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3247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3248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3249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3251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3243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3244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3245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3246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3247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3248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3249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3252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3243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3244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3245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3246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3247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3248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3249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3253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3243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3244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3245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3246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3247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3248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3249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3254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3255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3256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3257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3258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3259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3260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3261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3262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3263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3264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3265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3266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3267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3268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3269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3270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3271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3272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3273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3274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3275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3276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3277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3273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3274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3275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3276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3278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3279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3280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3281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3282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3283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3284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3285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3286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3287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3288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3289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3290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3291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3292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3293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3294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3295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3296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3297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3298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3299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3300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3301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3302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3303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3304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3305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3306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3307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3308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3309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3310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3311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3312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3313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3314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3315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3316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3317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3318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3319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3320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3321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3322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3323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3324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3325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3326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3327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3328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3329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3330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3331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3332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3333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3334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3335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3336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3337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3338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3339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3340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3341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3342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3343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3344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3345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3346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3347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3348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3349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3350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3351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3352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3353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3354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3355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3344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3356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3357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3358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3359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3360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3361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3362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3363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3364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3365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3366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3367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3360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3361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3362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3363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3364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3365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3366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0</v>
      </c>
      <c r="C306" s="20" t="s">
        <v>3368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3369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3370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3371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3372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0</v>
      </c>
      <c r="C323" s="20" t="s">
        <v>3373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3374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3375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3376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3374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3375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3377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3374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3375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3378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3374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3375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3379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3380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3374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3375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3379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3381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3382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3383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3384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3385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3386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3387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3388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3382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3383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3384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3385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3386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3389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3390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3374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3375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3391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3374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3375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3392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3374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3375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3393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3243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3244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3245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3246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3247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3248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3249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3394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3395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5" priority="3" operator="equal">
      <formula>"NOOK"</formula>
    </cfRule>
  </conditionalFormatting>
  <conditionalFormatting sqref="H104:H117">
    <cfRule type="cellIs" dxfId="4" priority="1" operator="equal">
      <formula>"NOOK"</formula>
    </cfRule>
    <cfRule type="cellIs" dxfId="3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0"/>
  <sheetViews>
    <sheetView topLeftCell="A265" zoomScaleNormal="100" workbookViewId="0">
      <selection activeCell="E278" sqref="E278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3240</v>
      </c>
      <c r="G1" s="18" t="s">
        <v>3241</v>
      </c>
      <c r="K1" s="6"/>
    </row>
    <row r="2" spans="1:11" s="4" customFormat="1" x14ac:dyDescent="0.2">
      <c r="A2" s="5" t="s">
        <v>1945</v>
      </c>
      <c r="B2" s="3">
        <v>0</v>
      </c>
      <c r="C2" s="20" t="s">
        <v>3396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3243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3244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3245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3246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3247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3248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3249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3250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3243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3244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3245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3246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3247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3248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3249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3251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3243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3244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3245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3246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3247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3248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3249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3252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3243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3244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3245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3246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3247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3248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3249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3253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3243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3244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3245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3246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3247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3248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3249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3254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3255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3256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3257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3258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3259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3260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3261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3262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3263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3264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3265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3266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3267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3268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3269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3270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3271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3272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3273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3274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3275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3276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3277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3273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3274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3275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3276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3278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3279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3280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3281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3282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3283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3284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3285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3286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3287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3288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3289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3290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3291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3292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3293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3294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3295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3296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3297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3298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3299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3300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3301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3302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3303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3304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3305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3306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3307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3308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3309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3310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3311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3312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3313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3314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3315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3316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3317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3318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3319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3320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3321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3322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3323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3324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3325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3326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3327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3328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3329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3330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3331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3332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3333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3334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3335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3336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3337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3338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3339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3340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3341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3342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3343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3344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3345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3346</v>
      </c>
      <c r="D273" s="34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3347</v>
      </c>
      <c r="D274" s="34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3348</v>
      </c>
      <c r="D275" s="34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3349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3350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3351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3352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3353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3354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3355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3344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3356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3357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3358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3359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3360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3361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3362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3363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3364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3365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3366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3367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3360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3361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3362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3363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3364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3365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3366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0</v>
      </c>
      <c r="C306" s="20" t="s">
        <v>3368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3369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3370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3371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3372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0</v>
      </c>
      <c r="C323" s="20" t="s">
        <v>3373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3374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3375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3376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3374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3375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3377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3374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3375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3378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3374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3375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3379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3380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3374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3375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3379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3381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3382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3383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3384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3385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3386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3387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3388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3382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3383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3384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3385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3386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3389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3390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3374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3375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3391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3374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3375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3392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3374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3375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3393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3243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3244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3245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3246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3247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3248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3249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3394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3395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2" priority="3" operator="equal">
      <formula>"NOOK"</formula>
    </cfRule>
  </conditionalFormatting>
  <conditionalFormatting sqref="H104:H117">
    <cfRule type="cellIs" dxfId="1" priority="1" operator="equal">
      <formula>"NOOK"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2021-12-26T20:17:54Z</dcterms:modified>
  <cp:category>Macros CMF</cp:category>
</cp:coreProperties>
</file>